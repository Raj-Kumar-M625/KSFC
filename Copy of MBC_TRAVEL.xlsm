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picm\Desktop\New folder\Documentation\"/>
    </mc:Choice>
  </mc:AlternateContent>
  <xr:revisionPtr revIDLastSave="0" documentId="13_ncr:1_{5E35234D-CE6E-47EA-BBA7-A24ACCC1ED7D}" xr6:coauthVersionLast="47" xr6:coauthVersionMax="47" xr10:uidLastSave="{00000000-0000-0000-0000-000000000000}"/>
  <bookViews>
    <workbookView showSheetTabs="0" xWindow="-108" yWindow="-108" windowWidth="23256" windowHeight="12456" activeTab="1" xr2:uid="{00000000-000D-0000-FFFF-FFFF00000000}"/>
  </bookViews>
  <sheets>
    <sheet name="HOME" sheetId="351" r:id="rId1"/>
    <sheet name="SET PARAMETERS" sheetId="1" r:id="rId2"/>
    <sheet name="SPLIT_PARAM" sheetId="363" r:id="rId3"/>
    <sheet name="DVL" sheetId="362" r:id="rId4"/>
    <sheet name="DTE" sheetId="368" r:id="rId5"/>
    <sheet name="DTEO" sheetId="369" r:id="rId6"/>
    <sheet name="Err_NegTime" sheetId="427" r:id="rId7"/>
    <sheet name="Err_Odometer" sheetId="426" r:id="rId8"/>
  </sheets>
  <definedNames>
    <definedName name="_xlnm._FilterDatabase" localSheetId="3" hidden="1">DVL!$A$11:$I$842</definedName>
    <definedName name="cLstNm">{"NORTH","SOUTH","EAST","WEST"}</definedName>
    <definedName name="ColToSplit">'SET PARAMETERS'!$A$22</definedName>
    <definedName name="ColUniqueVL">INDEX(DataVL,,MATCH(SelColVL,DataVLH,0)):INDEX(DataVL,,MATCH(SelColVL,DataVLH,0)+1)</definedName>
    <definedName name="CommRngVL">DVL!$C$4:$C$9</definedName>
    <definedName name="CRTVL">'SET PARAMETERS'!$A$22:INDEX('SET PARAMETERS'!$A$22:$A$1048576,COUNTA('SET PARAMETERS'!$A$22:$A$1048576))</definedName>
    <definedName name="DataVL">VehicleLog[#All]</definedName>
    <definedName name="DataVLH">INDEX(DataVL,1,)</definedName>
    <definedName name="DTEEXPRNG">DTEO!$A$1:$BH$32</definedName>
    <definedName name="EmpLstTE">EmpLstTravelExp[Employee Code]</definedName>
    <definedName name="ExternalData_1" localSheetId="4" hidden="1">DTE!$A$4:$U$835</definedName>
    <definedName name="ExternalData_1" localSheetId="3" hidden="1">DVL!$A$11:$I$842</definedName>
    <definedName name="ExternalData_1" localSheetId="7" hidden="1">Err_Odometer!$A$4:$E$30</definedName>
    <definedName name="ExternalData_1" localSheetId="2" hidden="1">SPLIT_PARAM!$A$1:$B$76</definedName>
    <definedName name="ExternalData_2" localSheetId="6" hidden="1">Err_NegTime!$A$4:$I$60</definedName>
    <definedName name="File_Path">'SET PARAMETERS'!$B$3</definedName>
    <definedName name="fltCrtVL">'SET PARAMETERS'!$D$22:$D$23</definedName>
    <definedName name="HeaderRngVL">DVL!$A$1:$J$9</definedName>
    <definedName name="HOME_CTRL">HOME!$A$1</definedName>
    <definedName name="HOME_ERR01">Err_Odometer!$A$1</definedName>
    <definedName name="HOME_ERR02">Err_NegTime!$A$1</definedName>
    <definedName name="HOME_SETPARAM">'SET PARAMETERS'!$A$1</definedName>
    <definedName name="HOME_TE">DTE!$A$1</definedName>
    <definedName name="HOME_TES">DTEO!$A$1</definedName>
    <definedName name="HOME_VL">DVL!$A$1</definedName>
    <definedName name="rStart">DTEO!$A$7</definedName>
    <definedName name="SelColVL">'SET PARAMETERS'!$B$6</definedName>
    <definedName name="sEmp">DTEO!$A$2</definedName>
    <definedName name="sEmpCount">DTEO!$E$2</definedName>
    <definedName name="sEmpPos">MATCH(sEmp,TravelExp[Employee Code],0)</definedName>
    <definedName name="SortCust">'SET PARAMETERS'!$B$8</definedName>
    <definedName name="SortSht">'SET PARAMETERS'!$B$7</definedName>
    <definedName name="UsrNm">'SET PARAMETERS'!$B$10</definedName>
    <definedName name="VBA_ACT">'SET PARAMETERS'!$B$14</definedName>
    <definedName name="VBA_FEXT">'SET PARAMETERS'!$B$13</definedName>
    <definedName name="VBA_FNM">'SET PARAMETERS'!$B$16</definedName>
    <definedName name="VBA_OPF">'SET PARAMETERS'!$B$11</definedName>
    <definedName name="VBA_OPFTE">'SET PARAMETERS'!$B$12</definedName>
    <definedName name="VBA_ORIENTATION">'SET PARAMETERS'!$B$15</definedName>
    <definedName name="VBA_STUP_FS">'SET PARAMETERS'!$B$17</definedName>
    <definedName name="VBA_STUP_FUS">'SET PARAMETERS'!$B$18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362" l="1"/>
  <c r="D1" i="427" l="1"/>
  <c r="E1" i="426"/>
  <c r="E4" i="369" a="1"/>
  <c r="E4" i="369" s="1"/>
  <c r="E2" i="369" l="1"/>
  <c r="BD3" i="369"/>
  <c r="AR3" i="369" a="1"/>
  <c r="AR3" i="369" s="1"/>
  <c r="Z3" i="369" a="1"/>
  <c r="Z3" i="369" s="1"/>
  <c r="E3" i="369" a="1"/>
  <c r="E3" i="369" s="1"/>
  <c r="C7" i="362"/>
  <c r="C5" i="362"/>
  <c r="C9" i="362" s="1"/>
  <c r="C4" i="362"/>
  <c r="U24" i="369" l="1"/>
  <c r="AM23" i="369" a="1"/>
  <c r="AM23" i="369" s="1"/>
  <c r="AM22" i="369" a="1"/>
  <c r="AM22" i="369" s="1"/>
  <c r="AM18" i="369" a="1"/>
  <c r="AM18" i="369" s="1"/>
  <c r="AM14" i="369" a="1"/>
  <c r="AM14" i="369" s="1"/>
  <c r="AM10" i="369" a="1"/>
  <c r="AM10" i="369" s="1"/>
  <c r="AM17" i="369" a="1"/>
  <c r="AM17" i="369" s="1"/>
  <c r="AM13" i="369" a="1"/>
  <c r="AM13" i="369" s="1"/>
  <c r="AM9" i="369" a="1"/>
  <c r="AM9" i="369" s="1"/>
  <c r="AM21" i="369" a="1"/>
  <c r="AM21" i="369" s="1"/>
  <c r="AM20" i="369" a="1"/>
  <c r="AM20" i="369" s="1"/>
  <c r="AM16" i="369" a="1"/>
  <c r="AM16" i="369" s="1"/>
  <c r="AM12" i="369" a="1"/>
  <c r="AM12" i="369" s="1"/>
  <c r="AM8" i="369" a="1"/>
  <c r="AM8" i="369" s="1"/>
  <c r="AM19" i="369" a="1"/>
  <c r="AM19" i="369" s="1"/>
  <c r="AM15" i="369" a="1"/>
  <c r="AM15" i="369" s="1"/>
  <c r="AM11" i="369" a="1"/>
  <c r="AM11" i="369" s="1"/>
  <c r="A9" i="369" a="1"/>
  <c r="A9" i="369" s="1"/>
  <c r="S8" i="369" a="1"/>
  <c r="S8" i="369" s="1"/>
  <c r="AP9" i="369" a="1"/>
  <c r="AP9" i="369" s="1"/>
  <c r="AH11" i="369" a="1"/>
  <c r="AH11" i="369" s="1"/>
  <c r="AY12" i="369" a="1"/>
  <c r="AY12" i="369" s="1"/>
  <c r="F14" i="369" a="1"/>
  <c r="F14" i="369" s="1"/>
  <c r="AJ16" i="369" a="1"/>
  <c r="AJ16" i="369" s="1"/>
  <c r="AY17" i="369" a="1"/>
  <c r="AY17" i="369" s="1"/>
  <c r="AV18" i="369" a="1"/>
  <c r="AV18" i="369" s="1"/>
  <c r="AP19" i="369" a="1"/>
  <c r="AP19" i="369" s="1"/>
  <c r="AJ21" i="369" a="1"/>
  <c r="AJ21" i="369" s="1"/>
  <c r="BF21" i="369" a="1"/>
  <c r="BF21" i="369" s="1"/>
  <c r="AH22" i="369" a="1"/>
  <c r="AH22" i="369" s="1"/>
  <c r="AY22" i="369" a="1"/>
  <c r="AY22" i="369" s="1"/>
  <c r="AV23" i="369" a="1"/>
  <c r="AV23" i="369" s="1"/>
  <c r="A22" i="369" a="1"/>
  <c r="A22" i="369" s="1"/>
  <c r="A15" i="369" a="1"/>
  <c r="A15" i="369" s="1"/>
  <c r="U8" i="369" a="1"/>
  <c r="U8" i="369" s="1"/>
  <c r="AV8" i="369" a="1"/>
  <c r="AV8" i="369" s="1"/>
  <c r="F9" i="369" a="1"/>
  <c r="F9" i="369" s="1"/>
  <c r="AS9" i="369" a="1"/>
  <c r="AS9" i="369" s="1"/>
  <c r="AJ11" i="369" a="1"/>
  <c r="AJ11" i="369" s="1"/>
  <c r="BB11" i="369" a="1"/>
  <c r="BB11" i="369" s="1"/>
  <c r="AH12" i="369" a="1"/>
  <c r="AH12" i="369" s="1"/>
  <c r="BB12" i="369" a="1"/>
  <c r="BB12" i="369" s="1"/>
  <c r="U13" i="369" a="1"/>
  <c r="U13" i="369" s="1"/>
  <c r="AV13" i="369" a="1"/>
  <c r="AV13" i="369" s="1"/>
  <c r="AS14" i="369" a="1"/>
  <c r="AS14" i="369" s="1"/>
  <c r="BF16" i="369" a="1"/>
  <c r="BF16" i="369" s="1"/>
  <c r="BB17" i="369" a="1"/>
  <c r="BB17" i="369" s="1"/>
  <c r="U18" i="369" a="1"/>
  <c r="U18" i="369" s="1"/>
  <c r="S19" i="369" a="1"/>
  <c r="S19" i="369" s="1"/>
  <c r="AS19" i="369" a="1"/>
  <c r="AS19" i="369" s="1"/>
  <c r="F20" i="369" a="1"/>
  <c r="F20" i="369" s="1"/>
  <c r="AJ22" i="369" a="1"/>
  <c r="AJ22" i="369" s="1"/>
  <c r="BB22" i="369" a="1"/>
  <c r="BB22" i="369" s="1"/>
  <c r="U23" i="369" a="1"/>
  <c r="U23" i="369" s="1"/>
  <c r="AY23" i="369" a="1"/>
  <c r="AY23" i="369" s="1"/>
  <c r="A21" i="369" a="1"/>
  <c r="A21" i="369" s="1"/>
  <c r="A14" i="369" a="1"/>
  <c r="A14" i="369" s="1"/>
  <c r="AY8" i="369" a="1"/>
  <c r="AY8" i="369" s="1"/>
  <c r="S9" i="369" a="1"/>
  <c r="S9" i="369" s="1"/>
  <c r="F10" i="369" a="1"/>
  <c r="F10" i="369" s="1"/>
  <c r="AP10" i="369" a="1"/>
  <c r="AP10" i="369" s="1"/>
  <c r="BF11" i="369" a="1"/>
  <c r="BF11" i="369" s="1"/>
  <c r="AJ12" i="369" a="1"/>
  <c r="AJ12" i="369" s="1"/>
  <c r="AH13" i="369" a="1"/>
  <c r="AH13" i="369" s="1"/>
  <c r="AY13" i="369" a="1"/>
  <c r="AY13" i="369" s="1"/>
  <c r="S14" i="369" a="1"/>
  <c r="S14" i="369" s="1"/>
  <c r="AV14" i="369" a="1"/>
  <c r="AV14" i="369" s="1"/>
  <c r="F15" i="369" a="1"/>
  <c r="F15" i="369" s="1"/>
  <c r="AP15" i="369" a="1"/>
  <c r="AP15" i="369" s="1"/>
  <c r="AP16" i="369" a="1"/>
  <c r="AP16" i="369" s="1"/>
  <c r="AJ17" i="369" a="1"/>
  <c r="AJ17" i="369" s="1"/>
  <c r="BF17" i="369" a="1"/>
  <c r="BF17" i="369" s="1"/>
  <c r="AH18" i="369" a="1"/>
  <c r="AH18" i="369" s="1"/>
  <c r="AY18" i="369" a="1"/>
  <c r="AY18" i="369" s="1"/>
  <c r="AV19" i="369" a="1"/>
  <c r="AV19" i="369" s="1"/>
  <c r="S20" i="369" a="1"/>
  <c r="S20" i="369" s="1"/>
  <c r="AS20" i="369" a="1"/>
  <c r="AS20" i="369" s="1"/>
  <c r="AP21" i="369" a="1"/>
  <c r="AP21" i="369" s="1"/>
  <c r="BF22" i="369" a="1"/>
  <c r="BF22" i="369" s="1"/>
  <c r="AH23" i="369" a="1"/>
  <c r="AH23" i="369" s="1"/>
  <c r="A20" i="369" a="1"/>
  <c r="A20" i="369" s="1"/>
  <c r="A13" i="369" a="1"/>
  <c r="A13" i="369" s="1"/>
  <c r="AS8" i="369" a="1"/>
  <c r="AS8" i="369" s="1"/>
  <c r="BF10" i="369" a="1"/>
  <c r="BF10" i="369" s="1"/>
  <c r="S13" i="369" a="1"/>
  <c r="S13" i="369" s="1"/>
  <c r="AP14" i="369" a="1"/>
  <c r="AP14" i="369" s="1"/>
  <c r="BF15" i="369" a="1"/>
  <c r="BF15" i="369" s="1"/>
  <c r="AH17" i="369" a="1"/>
  <c r="AH17" i="369" s="1"/>
  <c r="S18" i="369" a="1"/>
  <c r="S18" i="369" s="1"/>
  <c r="F19" i="369" a="1"/>
  <c r="F19" i="369" s="1"/>
  <c r="AP20" i="369" a="1"/>
  <c r="AP20" i="369" s="1"/>
  <c r="AH8" i="369" a="1"/>
  <c r="AH8" i="369" s="1"/>
  <c r="BB8" i="369" a="1"/>
  <c r="BB8" i="369" s="1"/>
  <c r="U9" i="369" a="1"/>
  <c r="U9" i="369" s="1"/>
  <c r="AV9" i="369" a="1"/>
  <c r="AV9" i="369" s="1"/>
  <c r="AS10" i="369" a="1"/>
  <c r="AS10" i="369" s="1"/>
  <c r="BF12" i="369" a="1"/>
  <c r="BF12" i="369" s="1"/>
  <c r="BB13" i="369" a="1"/>
  <c r="BB13" i="369" s="1"/>
  <c r="U14" i="369" a="1"/>
  <c r="U14" i="369" s="1"/>
  <c r="S15" i="369" a="1"/>
  <c r="S15" i="369" s="1"/>
  <c r="AS15" i="369" a="1"/>
  <c r="AS15" i="369" s="1"/>
  <c r="F16" i="369" a="1"/>
  <c r="F16" i="369" s="1"/>
  <c r="AJ18" i="369" a="1"/>
  <c r="AJ18" i="369" s="1"/>
  <c r="BB18" i="369" a="1"/>
  <c r="BB18" i="369" s="1"/>
  <c r="U19" i="369" a="1"/>
  <c r="U19" i="369" s="1"/>
  <c r="AY19" i="369" a="1"/>
  <c r="AY19" i="369" s="1"/>
  <c r="U20" i="369" a="1"/>
  <c r="U20" i="369" s="1"/>
  <c r="AV20" i="369" a="1"/>
  <c r="AV20" i="369" s="1"/>
  <c r="F21" i="369" a="1"/>
  <c r="F21" i="369" s="1"/>
  <c r="AS21" i="369" a="1"/>
  <c r="AS21" i="369" s="1"/>
  <c r="AJ23" i="369" a="1"/>
  <c r="AJ23" i="369" s="1"/>
  <c r="BB23" i="369" a="1"/>
  <c r="BB23" i="369" s="1"/>
  <c r="A19" i="369" a="1"/>
  <c r="A19" i="369" s="1"/>
  <c r="AJ8" i="369" a="1"/>
  <c r="AJ8" i="369" s="1"/>
  <c r="AH9" i="369" a="1"/>
  <c r="AH9" i="369" s="1"/>
  <c r="AY9" i="369" a="1"/>
  <c r="AY9" i="369" s="1"/>
  <c r="S10" i="369" a="1"/>
  <c r="S10" i="369" s="1"/>
  <c r="AV10" i="369" a="1"/>
  <c r="AV10" i="369" s="1"/>
  <c r="F11" i="369" a="1"/>
  <c r="F11" i="369" s="1"/>
  <c r="AP11" i="369" a="1"/>
  <c r="AP11" i="369" s="1"/>
  <c r="AP12" i="369" a="1"/>
  <c r="AP12" i="369" s="1"/>
  <c r="AJ13" i="369" a="1"/>
  <c r="AJ13" i="369" s="1"/>
  <c r="BF13" i="369" a="1"/>
  <c r="BF13" i="369" s="1"/>
  <c r="AH14" i="369" a="1"/>
  <c r="AH14" i="369" s="1"/>
  <c r="AY14" i="369" a="1"/>
  <c r="AY14" i="369" s="1"/>
  <c r="AV15" i="369" a="1"/>
  <c r="AV15" i="369" s="1"/>
  <c r="S16" i="369" a="1"/>
  <c r="S16" i="369" s="1"/>
  <c r="AS16" i="369" a="1"/>
  <c r="AS16" i="369" s="1"/>
  <c r="AP17" i="369" a="1"/>
  <c r="AP17" i="369" s="1"/>
  <c r="BF18" i="369" a="1"/>
  <c r="BF18" i="369" s="1"/>
  <c r="AH19" i="369" a="1"/>
  <c r="AH19" i="369" s="1"/>
  <c r="AY20" i="369" a="1"/>
  <c r="AY20" i="369" s="1"/>
  <c r="S21" i="369" a="1"/>
  <c r="S21" i="369" s="1"/>
  <c r="F22" i="369" a="1"/>
  <c r="F22" i="369" s="1"/>
  <c r="AP22" i="369" a="1"/>
  <c r="AP22" i="369" s="1"/>
  <c r="BF23" i="369" a="1"/>
  <c r="BF23" i="369" s="1"/>
  <c r="A18" i="369" a="1"/>
  <c r="A18" i="369" s="1"/>
  <c r="A12" i="369" a="1"/>
  <c r="A12" i="369" s="1"/>
  <c r="BF8" i="369" a="1"/>
  <c r="BF8" i="369" s="1"/>
  <c r="BB9" i="369" a="1"/>
  <c r="BB9" i="369" s="1"/>
  <c r="U10" i="369" a="1"/>
  <c r="U10" i="369" s="1"/>
  <c r="S11" i="369" a="1"/>
  <c r="S11" i="369" s="1"/>
  <c r="AS11" i="369" a="1"/>
  <c r="AS11" i="369" s="1"/>
  <c r="F12" i="369" a="1"/>
  <c r="F12" i="369" s="1"/>
  <c r="AJ14" i="369" a="1"/>
  <c r="AJ14" i="369" s="1"/>
  <c r="BB14" i="369" a="1"/>
  <c r="BB14" i="369" s="1"/>
  <c r="U15" i="369" a="1"/>
  <c r="U15" i="369" s="1"/>
  <c r="AY15" i="369" a="1"/>
  <c r="AY15" i="369" s="1"/>
  <c r="U16" i="369" a="1"/>
  <c r="U16" i="369" s="1"/>
  <c r="AV16" i="369" a="1"/>
  <c r="AV16" i="369" s="1"/>
  <c r="F17" i="369" a="1"/>
  <c r="F17" i="369" s="1"/>
  <c r="AS17" i="369" a="1"/>
  <c r="AS17" i="369" s="1"/>
  <c r="AJ19" i="369" a="1"/>
  <c r="AJ19" i="369" s="1"/>
  <c r="BB19" i="369" a="1"/>
  <c r="BB19" i="369" s="1"/>
  <c r="AH20" i="369" a="1"/>
  <c r="AH20" i="369" s="1"/>
  <c r="BB20" i="369" a="1"/>
  <c r="BB20" i="369" s="1"/>
  <c r="U21" i="369" a="1"/>
  <c r="U21" i="369" s="1"/>
  <c r="AV21" i="369" a="1"/>
  <c r="AV21" i="369" s="1"/>
  <c r="AS22" i="369" a="1"/>
  <c r="AS22" i="369" s="1"/>
  <c r="A17" i="369" a="1"/>
  <c r="A17" i="369" s="1"/>
  <c r="A11" i="369" a="1"/>
  <c r="A11" i="369" s="1"/>
  <c r="A8" i="369" a="1"/>
  <c r="A8" i="369" s="1"/>
  <c r="AP8" i="369" a="1"/>
  <c r="AP8" i="369" s="1"/>
  <c r="AJ9" i="369" a="1"/>
  <c r="AJ9" i="369" s="1"/>
  <c r="BF9" i="369" a="1"/>
  <c r="BF9" i="369" s="1"/>
  <c r="AH10" i="369" a="1"/>
  <c r="AH10" i="369" s="1"/>
  <c r="AY10" i="369" a="1"/>
  <c r="AY10" i="369" s="1"/>
  <c r="AV11" i="369" a="1"/>
  <c r="AV11" i="369" s="1"/>
  <c r="S12" i="369" a="1"/>
  <c r="S12" i="369" s="1"/>
  <c r="AS12" i="369" a="1"/>
  <c r="AS12" i="369" s="1"/>
  <c r="AP13" i="369" a="1"/>
  <c r="AP13" i="369" s="1"/>
  <c r="BF14" i="369" a="1"/>
  <c r="BF14" i="369" s="1"/>
  <c r="AH15" i="369" a="1"/>
  <c r="AH15" i="369" s="1"/>
  <c r="AY16" i="369" a="1"/>
  <c r="AY16" i="369" s="1"/>
  <c r="S17" i="369" a="1"/>
  <c r="S17" i="369" s="1"/>
  <c r="F18" i="369" a="1"/>
  <c r="F18" i="369" s="1"/>
  <c r="AP18" i="369" a="1"/>
  <c r="AP18" i="369" s="1"/>
  <c r="BF19" i="369" a="1"/>
  <c r="BF19" i="369" s="1"/>
  <c r="AJ20" i="369" a="1"/>
  <c r="AJ20" i="369" s="1"/>
  <c r="AH21" i="369" a="1"/>
  <c r="AH21" i="369" s="1"/>
  <c r="AY21" i="369" a="1"/>
  <c r="AY21" i="369" s="1"/>
  <c r="S22" i="369" a="1"/>
  <c r="S22" i="369" s="1"/>
  <c r="AV22" i="369" a="1"/>
  <c r="AV22" i="369" s="1"/>
  <c r="F23" i="369" a="1"/>
  <c r="F23" i="369" s="1"/>
  <c r="AP23" i="369" a="1"/>
  <c r="AP23" i="369" s="1"/>
  <c r="A10" i="369" a="1"/>
  <c r="A10" i="369" s="1"/>
  <c r="F8" i="369" a="1"/>
  <c r="F8" i="369" s="1"/>
  <c r="AJ10" i="369" a="1"/>
  <c r="AJ10" i="369" s="1"/>
  <c r="BB10" i="369" a="1"/>
  <c r="BB10" i="369" s="1"/>
  <c r="U11" i="369" a="1"/>
  <c r="U11" i="369" s="1"/>
  <c r="AY11" i="369" a="1"/>
  <c r="AY11" i="369" s="1"/>
  <c r="U12" i="369" a="1"/>
  <c r="U12" i="369" s="1"/>
  <c r="AV12" i="369" a="1"/>
  <c r="AV12" i="369" s="1"/>
  <c r="F13" i="369" a="1"/>
  <c r="F13" i="369" s="1"/>
  <c r="AS13" i="369" a="1"/>
  <c r="AS13" i="369" s="1"/>
  <c r="AJ15" i="369" a="1"/>
  <c r="AJ15" i="369" s="1"/>
  <c r="BB15" i="369" a="1"/>
  <c r="BB15" i="369" s="1"/>
  <c r="AH16" i="369" a="1"/>
  <c r="AH16" i="369" s="1"/>
  <c r="BB16" i="369" a="1"/>
  <c r="BB16" i="369" s="1"/>
  <c r="U17" i="369" a="1"/>
  <c r="U17" i="369" s="1"/>
  <c r="AV17" i="369" a="1"/>
  <c r="AV17" i="369" s="1"/>
  <c r="AS18" i="369" a="1"/>
  <c r="AS18" i="369" s="1"/>
  <c r="BF20" i="369" a="1"/>
  <c r="BF20" i="369" s="1"/>
  <c r="BB21" i="369" a="1"/>
  <c r="BB21" i="369" s="1"/>
  <c r="U22" i="369" a="1"/>
  <c r="U22" i="369" s="1"/>
  <c r="S23" i="369" a="1"/>
  <c r="S23" i="369" s="1"/>
  <c r="AS23" i="369" a="1"/>
  <c r="AS23" i="369" s="1"/>
  <c r="A23" i="369" a="1"/>
  <c r="A23" i="369" s="1"/>
  <c r="A16" i="369" a="1"/>
  <c r="A16" i="369" s="1"/>
  <c r="C8" i="362"/>
  <c r="B9" i="1" a="1"/>
  <c r="B9" i="1" s="1"/>
  <c r="AP24" i="369" l="1"/>
  <c r="AM24" i="369"/>
  <c r="AV24" i="369"/>
  <c r="BB24" i="369"/>
  <c r="AY24" i="369"/>
  <c r="AS24" i="369"/>
  <c r="AJ24" i="36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Map" description="Connection to the 'DAMap' query in the workbook." type="5" refreshedVersion="0" background="1">
    <dbPr connection="Provider=Microsoft.Mashup.OleDb.1;Data Source=$Workbook$;Location=DAMAP;Extended Properties=&quot;&quot;" command="SELECT * FROM [DAMap]"/>
  </connection>
  <connection id="2" xr16:uid="{00000000-0015-0000-FFFF-FFFF01000000}" keepAlive="1" name="Query - DAMap(1)" description="Connection to the 'DAMap' query in the workbook." type="5" refreshedVersion="0" background="1">
    <dbPr connection="Provider=Microsoft.Mashup.OleDb.1;Data Source=$Workbook$;Location=DAMap;Extended Properties=&quot;&quot;" command="SELECT * FROM [DAMap]"/>
  </connection>
  <connection id="3" xr16:uid="{00000000-0015-0000-FFFF-FFFF02000000}" keepAlive="1" name="Query - EmpLstTravelExp" description="Connection to the 'EmpLstTravelExp' query in the workbook." type="5" refreshedVersion="6" background="1" saveData="1">
    <dbPr connection="Provider=Microsoft.Mashup.OleDb.1;Data Source=$Workbook$;Location=EmpLstTravelExp;Extended Properties=&quot;&quot;" command="SELECT * FROM [EmpLstTravelExp]"/>
  </connection>
  <connection id="4" xr16:uid="{00000000-0015-0000-FFFF-FFFF03000000}" keepAlive="1" name="Query - fGetCellVal" description="Connection to the 'fGetCellVal' query in the workbook." type="5" refreshedVersion="0" background="1">
    <dbPr connection="Provider=Microsoft.Mashup.OleDb.1;Data Source=$Workbook$;Location=fGetCellVal;Extended Properties=&quot;&quot;" command="SELECT * FROM [fGetCellVal]"/>
  </connection>
  <connection id="5" xr16:uid="{00000000-0015-0000-FFFF-FFFF04000000}" keepAlive="1" name="Query - fGetDataT" description="Connection to the 'fGetDataT' query in the workbook." type="5" refreshedVersion="0" background="1">
    <dbPr connection="Provider=Microsoft.Mashup.OleDb.1;Data Source=$Workbook$;Location=fGetDataT;Extended Properties=&quot;&quot;" command="SELECT * FROM [fGetDataT]"/>
  </connection>
  <connection id="6" xr16:uid="{00000000-0015-0000-FFFF-FFFF05000000}" keepAlive="1" name="Query - fGetDataV" description="Connection to the 'fGetDataV' query in the workbook." type="5" refreshedVersion="0" background="1">
    <dbPr connection="Provider=Microsoft.Mashup.OleDb.1;Data Source=$Workbook$;Location=fGetDataV;Extended Properties=&quot;&quot;" command="SELECT * FROM [fGetDataV]"/>
  </connection>
  <connection id="7" xr16:uid="{00000000-0015-0000-FFFF-FFFF06000000}" keepAlive="1" name="Query - FolderT" description="Connection to the 'FolderT' query in the workbook." type="5" refreshedVersion="0" background="1">
    <dbPr connection="Provider=Microsoft.Mashup.OleDb.1;Data Source=$Workbook$;Location=FolderT;Extended Properties=&quot;&quot;" command="SELECT * FROM [FolderT]"/>
  </connection>
  <connection id="8" xr16:uid="{00000000-0015-0000-FFFF-FFFF07000000}" keepAlive="1" name="Query - FolderV" description="Connection to the 'FolderV' query in the workbook." type="5" refreshedVersion="0" background="1">
    <dbPr connection="Provider=Microsoft.Mashup.OleDb.1;Data Source=$Workbook$;Location=FolderV;Extended Properties=&quot;&quot;" command="SELECT * FROM [FolderV]"/>
  </connection>
  <connection id="9" xr16:uid="{00000000-0015-0000-FFFF-FFFF08000000}" keepAlive="1" name="Query - fTrimAll" description="Connection to the 'fTrimAll' query in the workbook." type="5" refreshedVersion="0" background="1">
    <dbPr connection="Provider=Microsoft.Mashup.OleDb.1;Data Source=$Workbook$;Location=fTrimAll;Extended Properties=&quot;&quot;" command="SELECT * FROM [fTrimAll]"/>
  </connection>
  <connection id="10" xr16:uid="{00000000-0015-0000-FFFF-FFFF09000000}" keepAlive="1" name="Query - NegTimeErrs" description="Connection to the 'NegTimeErrs' query in the workbook." type="5" refreshedVersion="6" saveData="1">
    <dbPr connection="Provider=Microsoft.Mashup.OleDb.1;Data Source=$Workbook$;Location=NegTimeErrs;Extended Properties=&quot;&quot;" command="SELECT * FROM [NegTimeErrs]"/>
  </connection>
  <connection id="11" xr16:uid="{00000000-0015-0000-FFFF-FFFF0A000000}" keepAlive="1" name="Query - OdometerErrs" description="Connection to the 'OdometerErrs' query in the workbook." type="5" refreshedVersion="6" background="1" saveData="1">
    <dbPr connection="Provider=Microsoft.Mashup.OleDb.1;Data Source=$Workbook$;Location=OdometerErrs;Extended Properties=&quot;&quot;" command="SELECT * FROM [OdometerErrs]"/>
  </connection>
  <connection id="12" xr16:uid="{00000000-0015-0000-FFFF-FFFF0B000000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  <connection id="13" xr16:uid="{00000000-0015-0000-FFFF-FFFF0C000000}" keepAlive="1" name="Query - TravelExp" description="Connection to the 'TravelExp' query in the workbook." type="5" refreshedVersion="6" background="1" saveData="1">
    <dbPr connection="Provider=Microsoft.Mashup.OleDb.1;Data Source=$Workbook$;Location=TravelExp;Extended Properties=&quot;&quot;" command="SELECT * FROM [TravelExp]"/>
  </connection>
  <connection id="14" xr16:uid="{00000000-0015-0000-FFFF-FFFF0D000000}" keepAlive="1" name="Query - VehicleLog" description="Connection to the 'VehicleLog' query in the workbook." type="5" refreshedVersion="6" background="1" saveData="1">
    <dbPr connection="Provider=Microsoft.Mashup.OleDb.1;Data Source=$Workbook$;Location=VehicleLog;Extended Properties=&quot;&quot;" command="SELECT * FROM [VehicleLog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<sst xmlns="http://schemas.openxmlformats.org/spreadsheetml/2006/main" count="9008" uniqueCount="1626">
  <si>
    <t>YES</t>
  </si>
  <si>
    <t>UserName</t>
  </si>
  <si>
    <t>Parameter</t>
  </si>
  <si>
    <t>Value</t>
  </si>
  <si>
    <t>File Extension</t>
  </si>
  <si>
    <t>SET PARAMETERS</t>
  </si>
  <si>
    <t>Show FlashScreen</t>
  </si>
  <si>
    <t>Show Full Screen</t>
  </si>
  <si>
    <t>Orientation</t>
  </si>
  <si>
    <t>Potrait</t>
  </si>
  <si>
    <t>Date</t>
  </si>
  <si>
    <t>NO</t>
  </si>
  <si>
    <t>Employee Code</t>
  </si>
  <si>
    <t>Employee Name</t>
  </si>
  <si>
    <t>Start Place</t>
  </si>
  <si>
    <t>End Place</t>
  </si>
  <si>
    <t>Odometer(Self)</t>
  </si>
  <si>
    <t>Odometer(Off)</t>
  </si>
  <si>
    <t>Fuel In Ltr</t>
  </si>
  <si>
    <t>Fuel Amt</t>
  </si>
  <si>
    <t>Google KM</t>
  </si>
  <si>
    <t>06MAH158</t>
  </si>
  <si>
    <t>Prashanth V Vyas</t>
  </si>
  <si>
    <t>12KER242</t>
  </si>
  <si>
    <t>Santhosh Kumar M S</t>
  </si>
  <si>
    <t>12MAH244</t>
  </si>
  <si>
    <t>Gokul Ramesh Khandekar</t>
  </si>
  <si>
    <t>12MAH247</t>
  </si>
  <si>
    <t>Rahul N Bangle</t>
  </si>
  <si>
    <t>17MAH259</t>
  </si>
  <si>
    <t>Babaji Madhukar Dhumse</t>
  </si>
  <si>
    <t>17MAH264</t>
  </si>
  <si>
    <t>Ganesh Dadarao Moghe</t>
  </si>
  <si>
    <t>18KAR269</t>
  </si>
  <si>
    <t>Rajshekhar A G</t>
  </si>
  <si>
    <t>18MAH277</t>
  </si>
  <si>
    <t>Balaji Vithalrao Pawar</t>
  </si>
  <si>
    <t>97KER059</t>
  </si>
  <si>
    <t>Surendran V P</t>
  </si>
  <si>
    <t>Local Conveyance</t>
  </si>
  <si>
    <t>Incdl Charges</t>
  </si>
  <si>
    <t>Communication Expenses</t>
  </si>
  <si>
    <t>Grand Total</t>
  </si>
  <si>
    <t>.xlsx</t>
  </si>
  <si>
    <t>FileName</t>
  </si>
  <si>
    <t>16HAR254</t>
  </si>
  <si>
    <t>Vivek Sharma</t>
  </si>
  <si>
    <t>17ASM365</t>
  </si>
  <si>
    <t>Kawaldeep Singh</t>
  </si>
  <si>
    <t>18KER265</t>
  </si>
  <si>
    <t>Manoj V</t>
  </si>
  <si>
    <t>MDA10009</t>
  </si>
  <si>
    <t>MDA10010</t>
  </si>
  <si>
    <t>MDA10011</t>
  </si>
  <si>
    <t>Akshay Band</t>
  </si>
  <si>
    <t>MDA10002</t>
  </si>
  <si>
    <t>Dastagiri Saheb B Mulla</t>
  </si>
  <si>
    <t>19MAH286</t>
  </si>
  <si>
    <t>Harish Vishnu Amte</t>
  </si>
  <si>
    <t>MDA10016</t>
  </si>
  <si>
    <t>Kailash Mahale</t>
  </si>
  <si>
    <t>10GUJ222</t>
  </si>
  <si>
    <t>Malek Farukmiya</t>
  </si>
  <si>
    <t>18GUJ275</t>
  </si>
  <si>
    <t>Mohammadsahejad Sajidbhai Shekh</t>
  </si>
  <si>
    <t>Prahlad Kumar Roy</t>
  </si>
  <si>
    <t>MDA10019</t>
  </si>
  <si>
    <t>Satish Bajranglalji Jaiswal</t>
  </si>
  <si>
    <t>18HAR268</t>
  </si>
  <si>
    <t>Satnam Singh</t>
  </si>
  <si>
    <t>M10AP223</t>
  </si>
  <si>
    <t>Satyanarayana S</t>
  </si>
  <si>
    <t>MDA10004</t>
  </si>
  <si>
    <t>Sonu Kanyan</t>
  </si>
  <si>
    <t>17HAR262</t>
  </si>
  <si>
    <t>Joginder Singh</t>
  </si>
  <si>
    <t>19HAR280</t>
  </si>
  <si>
    <t>Ved Parkash</t>
  </si>
  <si>
    <t>97KAR091</t>
  </si>
  <si>
    <t>Prakash K G</t>
  </si>
  <si>
    <t>19HAR289</t>
  </si>
  <si>
    <t>Sanjay Kumar</t>
  </si>
  <si>
    <t>MDA10034</t>
  </si>
  <si>
    <t>Seeshpal</t>
  </si>
  <si>
    <t>19KAR283</t>
  </si>
  <si>
    <t>ASHOK C S</t>
  </si>
  <si>
    <t>12GUJ241</t>
  </si>
  <si>
    <t>Jayesh Patel</t>
  </si>
  <si>
    <t>M18AP274</t>
  </si>
  <si>
    <t>Lakpathi B</t>
  </si>
  <si>
    <t>MDA10025</t>
  </si>
  <si>
    <t>Rajneesh Chauhan</t>
  </si>
  <si>
    <t>M00AP076</t>
  </si>
  <si>
    <t>Ramu R S</t>
  </si>
  <si>
    <t>00MAH072</t>
  </si>
  <si>
    <t>Vittal Jaisingh More</t>
  </si>
  <si>
    <t>M18AP273</t>
  </si>
  <si>
    <t>Islavath Naresh</t>
  </si>
  <si>
    <t>20KER291</t>
  </si>
  <si>
    <t>Pramod K K</t>
  </si>
  <si>
    <t>15ASM331</t>
  </si>
  <si>
    <t>Pranjit Sarmah</t>
  </si>
  <si>
    <t>Vehicle Log Book</t>
  </si>
  <si>
    <t xml:space="preserve">Vehicle No : </t>
  </si>
  <si>
    <t>Fuel in Ltrs</t>
  </si>
  <si>
    <t>Employee Km.</t>
  </si>
  <si>
    <t>Google Km.</t>
  </si>
  <si>
    <t>Vehicle Mileage (Km./Ltr)</t>
  </si>
  <si>
    <r>
      <t xml:space="preserve">Fuel Amount </t>
    </r>
    <r>
      <rPr>
        <sz val="10"/>
        <color theme="1"/>
        <rFont val="Calibri"/>
        <family val="2"/>
      </rPr>
      <t>₹</t>
    </r>
  </si>
  <si>
    <t>Rate Per Km. (₹)</t>
  </si>
  <si>
    <t>Totals</t>
  </si>
  <si>
    <t>Action</t>
  </si>
  <si>
    <t>Move</t>
  </si>
  <si>
    <t>Folder Travel Expense</t>
  </si>
  <si>
    <t>Folder Vehicle Log</t>
  </si>
  <si>
    <t>Output Folder Vehicle Log</t>
  </si>
  <si>
    <t>Output Folder Travel Expense</t>
  </si>
  <si>
    <t>Colum To Split Vehicle Log</t>
  </si>
  <si>
    <t>SortSheet</t>
  </si>
  <si>
    <t>CustomSort</t>
  </si>
  <si>
    <t>Custom Order</t>
  </si>
  <si>
    <t>Column2</t>
  </si>
  <si>
    <t>Department</t>
  </si>
  <si>
    <t>Start Time</t>
  </si>
  <si>
    <t>End Time</t>
  </si>
  <si>
    <t>Mode &amp; Class of Fare</t>
  </si>
  <si>
    <t>Lodge Expenses</t>
  </si>
  <si>
    <t>Outstation Conveyance</t>
  </si>
  <si>
    <t>File DA Map</t>
  </si>
  <si>
    <t>Designation</t>
  </si>
  <si>
    <t>Dur</t>
  </si>
  <si>
    <t>Name</t>
  </si>
  <si>
    <t>:</t>
  </si>
  <si>
    <t>PLACE</t>
  </si>
  <si>
    <t>TIME</t>
  </si>
  <si>
    <t>MODE &amp; CLASS OF FARE (A) Rs</t>
  </si>
  <si>
    <t>BOARDING &amp; LODGING (B)</t>
  </si>
  <si>
    <t>Lodge Rs</t>
  </si>
  <si>
    <t>LOCAL Convey.
 (C) Rs.</t>
  </si>
  <si>
    <t>INCDL Charges.
 (D) Rs.</t>
  </si>
  <si>
    <t>COMM.
Expense 
(E) Rs.</t>
  </si>
  <si>
    <t>GRAND TOTAL 
(F)</t>
  </si>
  <si>
    <t>Total Work HRs</t>
  </si>
  <si>
    <t>DEPARTURE</t>
  </si>
  <si>
    <t>ARRIVAL</t>
  </si>
  <si>
    <t>(dd-mmm-yyyy)</t>
  </si>
  <si>
    <t>FromDate</t>
  </si>
  <si>
    <t>ToDate</t>
  </si>
  <si>
    <t>Expenses Incurred Rs:</t>
  </si>
  <si>
    <t>Balance Rs</t>
  </si>
  <si>
    <t>Less Tour Advance Rs</t>
  </si>
  <si>
    <t>SIGNATURE OF THE EMPLOYEE</t>
  </si>
  <si>
    <t>REGIONAL MANAGER</t>
  </si>
  <si>
    <t>DGM/GM</t>
  </si>
  <si>
    <t>ACCOUNTS DEPARTMENT</t>
  </si>
  <si>
    <t>Region</t>
  </si>
  <si>
    <t>Travel Expenses</t>
  </si>
  <si>
    <t>ZoneAreaHQ</t>
  </si>
  <si>
    <t>South/Karnataka/CHAMARAJANAGAR</t>
  </si>
  <si>
    <t>Incorrect Odometer Ratings</t>
  </si>
  <si>
    <t>Incorrect EndTime</t>
  </si>
  <si>
    <t>No of Records</t>
  </si>
  <si>
    <t>#D-1, industrial area, nalada gas Kollegal, Kollegal, Karnataka 571440, India</t>
  </si>
  <si>
    <t>Marketing</t>
  </si>
  <si>
    <t>Unnamed Road, Old Taraori, Taraori, Haryana 132116, India</t>
  </si>
  <si>
    <t>Unnamed Road, Telangana 506330, India</t>
  </si>
  <si>
    <t>Marketing Officer-EJ</t>
  </si>
  <si>
    <t>Marketing Representative-S3</t>
  </si>
  <si>
    <t>Sr.Marketing Officer-E1</t>
  </si>
  <si>
    <t>(A) + (B) + (C) + (D) + (E ) Rs</t>
  </si>
  <si>
    <t>System Calculated Km</t>
  </si>
  <si>
    <t>Market Development Assistant</t>
  </si>
  <si>
    <t>West/Maharashtra-01/NASHIK</t>
  </si>
  <si>
    <t>West/Maharashtra-01/PIMPALGAON</t>
  </si>
  <si>
    <t>Isbavi Vaishnav Nagar plot no 52, Shivaji Nagar, Isbavi, Pandharpur, Maharashtra 413304, India</t>
  </si>
  <si>
    <t>West/Maharashtra-01/PANDRAPUR</t>
  </si>
  <si>
    <t>Unnamed Road, Hallur, Karnataka 587115, India</t>
  </si>
  <si>
    <t>South/Karnataka/BAGALKOTE</t>
  </si>
  <si>
    <t>0.000000000, 0.000000000</t>
  </si>
  <si>
    <t>West/Maharashtra-02/WARDHA</t>
  </si>
  <si>
    <t>Sr.Marketing Officer-E2</t>
  </si>
  <si>
    <t>West/Maharashtra-02/AKOLA</t>
  </si>
  <si>
    <t>Malkapur - Khadki Rd, Khadki, Akola, Maharashtra 444004, India</t>
  </si>
  <si>
    <t>23, Sarasnagar, Iwale Nagar, Ahmednagar, Maharashtra 414001, India</t>
  </si>
  <si>
    <t>West/Maharashtra-01/AHMEDNAGAR</t>
  </si>
  <si>
    <t>South/AP &amp; TS/KHAMMAM</t>
  </si>
  <si>
    <t>Asst. Regional Manager-E3</t>
  </si>
  <si>
    <t>West/Gujarat/BARODA</t>
  </si>
  <si>
    <t>C-45, Pangat Park, Waghodia, Vadodara, Gujarat 390019, India</t>
  </si>
  <si>
    <t>C-39, Pangat Park, Waghodia, Vadodara, Gujarat 390019, India</t>
  </si>
  <si>
    <t>North/Haryana1/KARNAL</t>
  </si>
  <si>
    <t>West/Maharashtra-02/AKOT</t>
  </si>
  <si>
    <t>West/Gujarat/AJAB</t>
  </si>
  <si>
    <t>Unnamed Road, Gujarat 362229, India</t>
  </si>
  <si>
    <t>Asst.Area Manager-E2</t>
  </si>
  <si>
    <t>East/Assam/JORHAT</t>
  </si>
  <si>
    <t>South/AP &amp; TS/MEDCHAL - HYD</t>
  </si>
  <si>
    <t>Nekkonda Rd, Jhalli, Telangana 506332, India</t>
  </si>
  <si>
    <t>West/Gujarat/BORSAD</t>
  </si>
  <si>
    <t>Vezhapra Bus Stop, SH11, Kuttanad Taluk, Kerala 689595, India</t>
  </si>
  <si>
    <t>South/Kerala/KOTTAYAM</t>
  </si>
  <si>
    <t>West/Gujarat/SANKHEDA</t>
  </si>
  <si>
    <t>West/Gujarat/RAJKOT</t>
  </si>
  <si>
    <t>Unnamed Road, Navapara, Gujarat 362266, India</t>
  </si>
  <si>
    <t>A 204, Mavdi, Rajkot, Gujarat 360004, India</t>
  </si>
  <si>
    <t>Labhdeep 3, Mavdi Main Road, Mavdi, Rajkot, Gujarat 360004, India</t>
  </si>
  <si>
    <t>Zone no 3 street No 8(B, Adarsh Nagar, Chhattisgarh 491001, India</t>
  </si>
  <si>
    <t>Center/Chhattisgarh/DURG</t>
  </si>
  <si>
    <t>AGM-Marketing-South-E5</t>
  </si>
  <si>
    <t>South/Karnataka/TUMKUR</t>
  </si>
  <si>
    <t>South/Kerala/TRISSUR</t>
  </si>
  <si>
    <t>Sr.Regional Manager-E4</t>
  </si>
  <si>
    <t>East/Assam/GUWAHATI</t>
  </si>
  <si>
    <t>15, SK Baruah Rd, Rukmini Gaon, Guwahati, Assam 781036, India</t>
  </si>
  <si>
    <t>Regional Manager (Vidharbha)-E4</t>
  </si>
  <si>
    <t>near, Date College Rd, Dahivalkar Layout, Yavatmal, Maharashtra 445002, India</t>
  </si>
  <si>
    <t>West/Maharashtra-02/YEVATMAL</t>
  </si>
  <si>
    <t>Regional Manager(West Mah)-E4</t>
  </si>
  <si>
    <t>Machoti - Bhooth Rd, Himachal Pradesh 171207, India</t>
  </si>
  <si>
    <t>North/Haryana/ROHRU</t>
  </si>
  <si>
    <t>Bachhunch Rd, Himachal Pradesh 171207, India</t>
  </si>
  <si>
    <t>Machoti - Dhwana Rd, Dhara, Himachal Pradesh 171207, India</t>
  </si>
  <si>
    <t>Machoti - Bhooth Rd, Bari, Himachal Pradesh 171207, India</t>
  </si>
  <si>
    <t>Regional Manager-E4</t>
  </si>
  <si>
    <t>41/B, Sonappa Layout, Kodigehalli, Bengaluru, Karnataka 560112, India</t>
  </si>
  <si>
    <t>South/AP &amp; TS/SATTENAPALLY</t>
  </si>
  <si>
    <t>Unnamed Road, Sattenapalle, Andhra Pradesh 522403, India</t>
  </si>
  <si>
    <t>-</t>
  </si>
  <si>
    <t>Devgarh Rd, Himachal Pradesh 171202, India</t>
  </si>
  <si>
    <t>North/Haryana/SHIMLA1</t>
  </si>
  <si>
    <t>South/Kerala/KUMILY</t>
  </si>
  <si>
    <t>West/Maharashtra-02/PUSAD</t>
  </si>
  <si>
    <t>South/AP &amp; TS/NANDIGAMA</t>
  </si>
  <si>
    <t>North/Haryana/RANIA</t>
  </si>
  <si>
    <t>West/Maharashtra-02/CHIKHALI</t>
  </si>
  <si>
    <t>North/Haryana1/LADWA</t>
  </si>
  <si>
    <t>North/Haryana/SHIMLA</t>
  </si>
  <si>
    <t>West/Maharashtra-01/SANGLI</t>
  </si>
  <si>
    <t>North/Haryana/CHANDIGARH</t>
  </si>
  <si>
    <t>SysGenDA</t>
  </si>
  <si>
    <t>Certified that a) the journey was actually perfromed in the model/class indicated above b) I was not provided free of charge car /other conveyance owned by the company at the Company's expenses. c) the claims are ture and correct</t>
  </si>
  <si>
    <t>Sys Gen DA Rs</t>
  </si>
  <si>
    <t>Ver 1.1(Released For Production)</t>
  </si>
  <si>
    <t>Plot No, 5, Umberkhed Rd, Pimpalgaon Baswant, Maharashtra 422209, India</t>
  </si>
  <si>
    <t>96MAH015</t>
  </si>
  <si>
    <t>Shete B P</t>
  </si>
  <si>
    <t>Sr.Area Sales Manager-E3</t>
  </si>
  <si>
    <t>RJQ4+XJ7, Vishrambag, Sangli, Maharashtra 416410, India</t>
  </si>
  <si>
    <t>West/Maharashtra-01/MANCHER</t>
  </si>
  <si>
    <t>RJQ4+VJ9, Vishrambag, Sangli, Maharashtra 416410, India</t>
  </si>
  <si>
    <t>Margo : Travel Expense Statement</t>
  </si>
  <si>
    <t>HP</t>
  </si>
  <si>
    <t>48124-48136</t>
  </si>
  <si>
    <t>48138-0</t>
  </si>
  <si>
    <t>48203-48303</t>
  </si>
  <si>
    <t>48307-48513</t>
  </si>
  <si>
    <t>48857-48914</t>
  </si>
  <si>
    <t>48914-49012</t>
  </si>
  <si>
    <t>49023-49264</t>
  </si>
  <si>
    <t>49266-49473</t>
  </si>
  <si>
    <t>MDA10050</t>
  </si>
  <si>
    <t>Ajaykumar Chandrakar</t>
  </si>
  <si>
    <t>9117-9283</t>
  </si>
  <si>
    <t>9283-9421</t>
  </si>
  <si>
    <t>9906-9972</t>
  </si>
  <si>
    <t>9972-10016</t>
  </si>
  <si>
    <t>10016-10086</t>
  </si>
  <si>
    <t>10086-10166</t>
  </si>
  <si>
    <t>10169-10345</t>
  </si>
  <si>
    <t>10345-10393</t>
  </si>
  <si>
    <t>10393-10438</t>
  </si>
  <si>
    <t>10438-10575</t>
  </si>
  <si>
    <t>10575-10652</t>
  </si>
  <si>
    <t>10652-10678</t>
  </si>
  <si>
    <t>46620-46671</t>
  </si>
  <si>
    <t>46682-46694</t>
  </si>
  <si>
    <t>46696-46757</t>
  </si>
  <si>
    <t>46757-46846</t>
  </si>
  <si>
    <t>46887-46989</t>
  </si>
  <si>
    <t>46989-47109</t>
  </si>
  <si>
    <t>47109-0</t>
  </si>
  <si>
    <t>47161-47295</t>
  </si>
  <si>
    <t>47295-47317</t>
  </si>
  <si>
    <t>MDA10062</t>
  </si>
  <si>
    <t>Ananda Murthy M N</t>
  </si>
  <si>
    <t>4151-4383</t>
  </si>
  <si>
    <t>4386-4404</t>
  </si>
  <si>
    <t>4491-4592</t>
  </si>
  <si>
    <t>4594-4758</t>
  </si>
  <si>
    <t>4758-4820</t>
  </si>
  <si>
    <t>4820-4956</t>
  </si>
  <si>
    <t>4936-5101</t>
  </si>
  <si>
    <t>5101-5144</t>
  </si>
  <si>
    <t>M21HAR312</t>
  </si>
  <si>
    <t>Anil Kumar</t>
  </si>
  <si>
    <t>75925-75940</t>
  </si>
  <si>
    <t>75947-75955</t>
  </si>
  <si>
    <t>75955-75989</t>
  </si>
  <si>
    <t>76017-76033</t>
  </si>
  <si>
    <t>76033-76050</t>
  </si>
  <si>
    <t>76061-76171</t>
  </si>
  <si>
    <t>76172-76179</t>
  </si>
  <si>
    <t>20HAR294</t>
  </si>
  <si>
    <t>Anuj Dixit</t>
  </si>
  <si>
    <t>156568-156639</t>
  </si>
  <si>
    <t>156639-156682</t>
  </si>
  <si>
    <t>156682-156811</t>
  </si>
  <si>
    <t>156811-156990</t>
  </si>
  <si>
    <t>156990-157071</t>
  </si>
  <si>
    <t>157071-157219</t>
  </si>
  <si>
    <t>157219-157321</t>
  </si>
  <si>
    <t>157321-157434</t>
  </si>
  <si>
    <t>157434-157651</t>
  </si>
  <si>
    <t>157651-157740</t>
  </si>
  <si>
    <t>157740-157882</t>
  </si>
  <si>
    <t>3686-3708</t>
  </si>
  <si>
    <t>3715-3884</t>
  </si>
  <si>
    <t>3887-4056</t>
  </si>
  <si>
    <t>4070-4230</t>
  </si>
  <si>
    <t>4232-4243</t>
  </si>
  <si>
    <t>4246-4280</t>
  </si>
  <si>
    <t>4291-4361</t>
  </si>
  <si>
    <t>4365-4417</t>
  </si>
  <si>
    <t>4417-4428</t>
  </si>
  <si>
    <t>4431-4471</t>
  </si>
  <si>
    <t>4476-4520</t>
  </si>
  <si>
    <t>4522-4527</t>
  </si>
  <si>
    <t>Balas Kamaleshbhai Babubhai</t>
  </si>
  <si>
    <t>35848-35918</t>
  </si>
  <si>
    <t>35957-36005</t>
  </si>
  <si>
    <t>36006-36123</t>
  </si>
  <si>
    <t>36134-36241</t>
  </si>
  <si>
    <t>36242-36374</t>
  </si>
  <si>
    <t>36375-36376</t>
  </si>
  <si>
    <t>36381-36419</t>
  </si>
  <si>
    <t>36420-36515</t>
  </si>
  <si>
    <t>36528-36610</t>
  </si>
  <si>
    <t>36615-36794</t>
  </si>
  <si>
    <t>36795-36912</t>
  </si>
  <si>
    <t>36925-36964</t>
  </si>
  <si>
    <t>22AP317</t>
  </si>
  <si>
    <t>Danda Venkata Reddy</t>
  </si>
  <si>
    <t>68109-68161</t>
  </si>
  <si>
    <t>68182-68267</t>
  </si>
  <si>
    <t>68267-68324</t>
  </si>
  <si>
    <t>68324-68368</t>
  </si>
  <si>
    <t>68368-68419</t>
  </si>
  <si>
    <t>68419-68434</t>
  </si>
  <si>
    <t>68434-68569</t>
  </si>
  <si>
    <t>68569-68598</t>
  </si>
  <si>
    <t>68598-68644</t>
  </si>
  <si>
    <t>68644-68716</t>
  </si>
  <si>
    <t>68716-68804</t>
  </si>
  <si>
    <t>68804-68864</t>
  </si>
  <si>
    <t>68864-68926</t>
  </si>
  <si>
    <t>68926-69004</t>
  </si>
  <si>
    <t>52344-0</t>
  </si>
  <si>
    <t>52344-52370</t>
  </si>
  <si>
    <t>52375-52422</t>
  </si>
  <si>
    <t>52455-0</t>
  </si>
  <si>
    <t>52506-52554</t>
  </si>
  <si>
    <t>52558-52599</t>
  </si>
  <si>
    <t>52615-52682</t>
  </si>
  <si>
    <t>52653-52692</t>
  </si>
  <si>
    <t>52697-52714</t>
  </si>
  <si>
    <t>52714-52764</t>
  </si>
  <si>
    <t>52764-52810</t>
  </si>
  <si>
    <t>MDA10061</t>
  </si>
  <si>
    <t>Dhiraj S Bhujade</t>
  </si>
  <si>
    <t>82484-82562</t>
  </si>
  <si>
    <t>82569-82638</t>
  </si>
  <si>
    <t>82638-82716</t>
  </si>
  <si>
    <t>82729-82797</t>
  </si>
  <si>
    <t>82797-82922</t>
  </si>
  <si>
    <t>8300-0</t>
  </si>
  <si>
    <t>MDA10060</t>
  </si>
  <si>
    <t>Dilbagh Singh</t>
  </si>
  <si>
    <t>27244-27351</t>
  </si>
  <si>
    <t>27393-27435</t>
  </si>
  <si>
    <t>27435-27503</t>
  </si>
  <si>
    <t>27503-27592</t>
  </si>
  <si>
    <t>27592-27704</t>
  </si>
  <si>
    <t>27706-27776</t>
  </si>
  <si>
    <t>27767-27825</t>
  </si>
  <si>
    <t>27825-278880</t>
  </si>
  <si>
    <t>27880-28804</t>
  </si>
  <si>
    <t>28804-0</t>
  </si>
  <si>
    <t>28050-28099</t>
  </si>
  <si>
    <t>28099-28238</t>
  </si>
  <si>
    <t>28252-28362</t>
  </si>
  <si>
    <t>22AP326</t>
  </si>
  <si>
    <t>G Murali</t>
  </si>
  <si>
    <t>145456-145474</t>
  </si>
  <si>
    <t>145474-145554</t>
  </si>
  <si>
    <t>145554-145634</t>
  </si>
  <si>
    <t>145636-145661</t>
  </si>
  <si>
    <t>145661-145693</t>
  </si>
  <si>
    <t>150462-150654</t>
  </si>
  <si>
    <t>150654-150871</t>
  </si>
  <si>
    <t>150884-151113</t>
  </si>
  <si>
    <t>151113-151117</t>
  </si>
  <si>
    <t>151124-151449</t>
  </si>
  <si>
    <t>151458-151783</t>
  </si>
  <si>
    <t>232857-232915</t>
  </si>
  <si>
    <t>232915-232982</t>
  </si>
  <si>
    <t>232982-233017</t>
  </si>
  <si>
    <t>233022-233109</t>
  </si>
  <si>
    <t>233109-233171</t>
  </si>
  <si>
    <t>233171-233211</t>
  </si>
  <si>
    <t>233211-233440</t>
  </si>
  <si>
    <t>233440-233548</t>
  </si>
  <si>
    <t>233548-233684</t>
  </si>
  <si>
    <t>233684-233749</t>
  </si>
  <si>
    <t>233749-233764</t>
  </si>
  <si>
    <t>233764-233825</t>
  </si>
  <si>
    <t>32823-32833</t>
  </si>
  <si>
    <t>32846-32869</t>
  </si>
  <si>
    <t>32869-32880</t>
  </si>
  <si>
    <t>32884-32890</t>
  </si>
  <si>
    <t>32890-32894</t>
  </si>
  <si>
    <t>32894-32903</t>
  </si>
  <si>
    <t>32912-32993</t>
  </si>
  <si>
    <t>32993-33015</t>
  </si>
  <si>
    <t>33015-33020</t>
  </si>
  <si>
    <t>33020-33030</t>
  </si>
  <si>
    <t>33030-33036</t>
  </si>
  <si>
    <t>33036-33158</t>
  </si>
  <si>
    <t>21508-21543</t>
  </si>
  <si>
    <t>21602-21682</t>
  </si>
  <si>
    <t>21682-21750</t>
  </si>
  <si>
    <t>21862-21895</t>
  </si>
  <si>
    <t>21901-21939</t>
  </si>
  <si>
    <t>21941-21955</t>
  </si>
  <si>
    <t>21958-22014</t>
  </si>
  <si>
    <t>22014-22075</t>
  </si>
  <si>
    <t>22086-22182</t>
  </si>
  <si>
    <t>22189-0,22184-22256</t>
  </si>
  <si>
    <t>22258-22371</t>
  </si>
  <si>
    <t>22371-22378</t>
  </si>
  <si>
    <t>101570-101822</t>
  </si>
  <si>
    <t>101839-102046</t>
  </si>
  <si>
    <t>102046-102178</t>
  </si>
  <si>
    <t>102325-0</t>
  </si>
  <si>
    <t>102353-102459</t>
  </si>
  <si>
    <t>102467-102606</t>
  </si>
  <si>
    <t>102606-102617</t>
  </si>
  <si>
    <t>102617-0</t>
  </si>
  <si>
    <t>98630-98657</t>
  </si>
  <si>
    <t>98661-98721</t>
  </si>
  <si>
    <t>98721-98807</t>
  </si>
  <si>
    <t>98830-98865</t>
  </si>
  <si>
    <t>98865-98881</t>
  </si>
  <si>
    <t>98941-98970</t>
  </si>
  <si>
    <t>98973-98996</t>
  </si>
  <si>
    <t>98996-99007</t>
  </si>
  <si>
    <t>99007-99051</t>
  </si>
  <si>
    <t>99051-99092</t>
  </si>
  <si>
    <t>99092-99138</t>
  </si>
  <si>
    <t>MDA10043</t>
  </si>
  <si>
    <t>Karampal</t>
  </si>
  <si>
    <t>11933-11947</t>
  </si>
  <si>
    <t>11947-12008</t>
  </si>
  <si>
    <t>12008-12041</t>
  </si>
  <si>
    <t>12041-12104</t>
  </si>
  <si>
    <t>12104-12131</t>
  </si>
  <si>
    <t>12132-12178</t>
  </si>
  <si>
    <t>12178-12228</t>
  </si>
  <si>
    <t>12304-12334</t>
  </si>
  <si>
    <t>12334-12362</t>
  </si>
  <si>
    <t>12362-12414</t>
  </si>
  <si>
    <t>12414-12460</t>
  </si>
  <si>
    <t>12460-12522</t>
  </si>
  <si>
    <t>12522-12560</t>
  </si>
  <si>
    <t>12560-12626</t>
  </si>
  <si>
    <t>MDA10049</t>
  </si>
  <si>
    <t>Karan Singh</t>
  </si>
  <si>
    <t>6964-7029</t>
  </si>
  <si>
    <t>7096-7168</t>
  </si>
  <si>
    <t>7174-7376</t>
  </si>
  <si>
    <t>7378-7405,7415-7525</t>
  </si>
  <si>
    <t>7525-7647</t>
  </si>
  <si>
    <t>7647-7720</t>
  </si>
  <si>
    <t>7745-7904</t>
  </si>
  <si>
    <t>5812-5855</t>
  </si>
  <si>
    <t>5855-5922</t>
  </si>
  <si>
    <t>7926-8021</t>
  </si>
  <si>
    <t>94564-94600</t>
  </si>
  <si>
    <t>94600-94652</t>
  </si>
  <si>
    <t>94652-94699</t>
  </si>
  <si>
    <t>94700-94923</t>
  </si>
  <si>
    <t>21MAH300</t>
  </si>
  <si>
    <t>Kishor Shriram Dandage</t>
  </si>
  <si>
    <t>43956-43997</t>
  </si>
  <si>
    <t>44017-44038</t>
  </si>
  <si>
    <t>44038-44044</t>
  </si>
  <si>
    <t>44044-44090</t>
  </si>
  <si>
    <t>44090-44133</t>
  </si>
  <si>
    <t>44133-44154</t>
  </si>
  <si>
    <t>44144-44201</t>
  </si>
  <si>
    <t>44201-44248</t>
  </si>
  <si>
    <t>44248-44307</t>
  </si>
  <si>
    <t>44307-44320</t>
  </si>
  <si>
    <t>M21HAR310</t>
  </si>
  <si>
    <t>Kismat</t>
  </si>
  <si>
    <t>125427-125533</t>
  </si>
  <si>
    <t>125533-125566</t>
  </si>
  <si>
    <t>125566-125611</t>
  </si>
  <si>
    <t>125611-125819</t>
  </si>
  <si>
    <t>125819-125924</t>
  </si>
  <si>
    <t>125924-126025</t>
  </si>
  <si>
    <t>126025-126085</t>
  </si>
  <si>
    <t>126085-126207</t>
  </si>
  <si>
    <t>126207-126225</t>
  </si>
  <si>
    <t>126225-126239</t>
  </si>
  <si>
    <t>126239-126391</t>
  </si>
  <si>
    <t>126391-126545</t>
  </si>
  <si>
    <t>126545-126562</t>
  </si>
  <si>
    <t>126562-126687</t>
  </si>
  <si>
    <t>126687-126787</t>
  </si>
  <si>
    <t>46275-46371</t>
  </si>
  <si>
    <t>46381-46466</t>
  </si>
  <si>
    <t>46466-46520</t>
  </si>
  <si>
    <t>46569-46621</t>
  </si>
  <si>
    <t>46621-46719</t>
  </si>
  <si>
    <t>46745-46805</t>
  </si>
  <si>
    <t>46805-46863</t>
  </si>
  <si>
    <t>46868-46956</t>
  </si>
  <si>
    <t>46957-47072</t>
  </si>
  <si>
    <t>47072-47183</t>
  </si>
  <si>
    <t>47187-47280</t>
  </si>
  <si>
    <t>47280-47416</t>
  </si>
  <si>
    <t>47416-47474</t>
  </si>
  <si>
    <t>81069-81098</t>
  </si>
  <si>
    <t>81100-81142</t>
  </si>
  <si>
    <t>81142-81225</t>
  </si>
  <si>
    <t>81256-81396</t>
  </si>
  <si>
    <t>81405-81568</t>
  </si>
  <si>
    <t>81568-81734</t>
  </si>
  <si>
    <t>81790-81861</t>
  </si>
  <si>
    <t>81864-81987</t>
  </si>
  <si>
    <t>82005-82035</t>
  </si>
  <si>
    <t>22KAR319</t>
  </si>
  <si>
    <t>Mallanna Biradar</t>
  </si>
  <si>
    <t>75082-0</t>
  </si>
  <si>
    <t>75129-75230</t>
  </si>
  <si>
    <t>75230-75255</t>
  </si>
  <si>
    <t>MDA10046</t>
  </si>
  <si>
    <t>Manoj D. Pahune</t>
  </si>
  <si>
    <t>50708-50795</t>
  </si>
  <si>
    <t>50805-50896</t>
  </si>
  <si>
    <t>50896-50945</t>
  </si>
  <si>
    <t>50945-0</t>
  </si>
  <si>
    <t>50958-51050</t>
  </si>
  <si>
    <t>51050-51067</t>
  </si>
  <si>
    <t>51067-51172</t>
  </si>
  <si>
    <t>51194-51232</t>
  </si>
  <si>
    <t>51218-51272</t>
  </si>
  <si>
    <t>51274-51288</t>
  </si>
  <si>
    <t>51288-51357</t>
  </si>
  <si>
    <t>51357-51409</t>
  </si>
  <si>
    <t>51411-51497</t>
  </si>
  <si>
    <t>98153-98213</t>
  </si>
  <si>
    <t>98285-98319</t>
  </si>
  <si>
    <t>98319-98387</t>
  </si>
  <si>
    <t>98444-98521</t>
  </si>
  <si>
    <t>98522-98593</t>
  </si>
  <si>
    <t>98603-98700</t>
  </si>
  <si>
    <t>98705-98762</t>
  </si>
  <si>
    <t>98765-98848</t>
  </si>
  <si>
    <t>98848-98912</t>
  </si>
  <si>
    <t>98912-99013</t>
  </si>
  <si>
    <t>99013-99080</t>
  </si>
  <si>
    <t>5969-6038</t>
  </si>
  <si>
    <t>6146-6223</t>
  </si>
  <si>
    <t>6227-6299</t>
  </si>
  <si>
    <t>6307-6365</t>
  </si>
  <si>
    <t>6366-6430</t>
  </si>
  <si>
    <t>6434-6461</t>
  </si>
  <si>
    <t>6483-6575</t>
  </si>
  <si>
    <t>6582-6612</t>
  </si>
  <si>
    <t>6615-6691</t>
  </si>
  <si>
    <t>6694-6767</t>
  </si>
  <si>
    <t>6773-6863</t>
  </si>
  <si>
    <t>6868-6952</t>
  </si>
  <si>
    <t>MDA10058</t>
  </si>
  <si>
    <t>N Shivakumar</t>
  </si>
  <si>
    <t>6061-6166</t>
  </si>
  <si>
    <t>6260-6311</t>
  </si>
  <si>
    <t>6314-6444</t>
  </si>
  <si>
    <t>6509-6512</t>
  </si>
  <si>
    <t>6512-6625</t>
  </si>
  <si>
    <t>6680-6743</t>
  </si>
  <si>
    <t>6743-6777</t>
  </si>
  <si>
    <t>6866-6932</t>
  </si>
  <si>
    <t>6932-7012</t>
  </si>
  <si>
    <t>7012-7061</t>
  </si>
  <si>
    <t>MDA10052</t>
  </si>
  <si>
    <t>Naveen</t>
  </si>
  <si>
    <t>64175-64240</t>
  </si>
  <si>
    <t>64254-64268</t>
  </si>
  <si>
    <t>64268-0</t>
  </si>
  <si>
    <t>64281-64296</t>
  </si>
  <si>
    <t>64296-64381</t>
  </si>
  <si>
    <t>64381-0</t>
  </si>
  <si>
    <t>64389-0</t>
  </si>
  <si>
    <t>64399-64417</t>
  </si>
  <si>
    <t>64417-64486</t>
  </si>
  <si>
    <t>64486-0</t>
  </si>
  <si>
    <t>64487-64529</t>
  </si>
  <si>
    <t>64529-64544</t>
  </si>
  <si>
    <t>64544-64566</t>
  </si>
  <si>
    <t>Paramar Fulsang Ramabhai</t>
  </si>
  <si>
    <t>3774-3887</t>
  </si>
  <si>
    <t>3918-3942</t>
  </si>
  <si>
    <t>3942-4158</t>
  </si>
  <si>
    <t>4237-4265</t>
  </si>
  <si>
    <t>4280-4309</t>
  </si>
  <si>
    <t>4329-4399</t>
  </si>
  <si>
    <t>4431-4612</t>
  </si>
  <si>
    <t>4614-4759</t>
  </si>
  <si>
    <t>4787-0,4788-4812</t>
  </si>
  <si>
    <t>20CHG290</t>
  </si>
  <si>
    <t>59342-59363</t>
  </si>
  <si>
    <t>59363-59388</t>
  </si>
  <si>
    <t>59388-59415</t>
  </si>
  <si>
    <t>59415-59426</t>
  </si>
  <si>
    <t>59426-59436</t>
  </si>
  <si>
    <t>59436-59450</t>
  </si>
  <si>
    <t>59450-59526</t>
  </si>
  <si>
    <t>59534-59538</t>
  </si>
  <si>
    <t>59538-59599</t>
  </si>
  <si>
    <t>59606-59633</t>
  </si>
  <si>
    <t>59633-59715</t>
  </si>
  <si>
    <t>59715-59727</t>
  </si>
  <si>
    <t>44621-44719</t>
  </si>
  <si>
    <t>44719-44755</t>
  </si>
  <si>
    <t>44755-44771</t>
  </si>
  <si>
    <t>44771-44871</t>
  </si>
  <si>
    <t>44871-44888</t>
  </si>
  <si>
    <t>44888-44982</t>
  </si>
  <si>
    <t>44982-45026</t>
  </si>
  <si>
    <t>45026-45058</t>
  </si>
  <si>
    <t>96352-96372</t>
  </si>
  <si>
    <t>96372-96435</t>
  </si>
  <si>
    <t>96435-96475</t>
  </si>
  <si>
    <t>96488-96530</t>
  </si>
  <si>
    <t>96530-96557</t>
  </si>
  <si>
    <t>96557-96589</t>
  </si>
  <si>
    <t>96589-96632</t>
  </si>
  <si>
    <t>96632-96670</t>
  </si>
  <si>
    <t>71550-71572</t>
  </si>
  <si>
    <t>71809-71880</t>
  </si>
  <si>
    <t>71881-72186</t>
  </si>
  <si>
    <t>72190-72216</t>
  </si>
  <si>
    <t>MDA10059</t>
  </si>
  <si>
    <t>PrasannaKumar</t>
  </si>
  <si>
    <t>22870-22913</t>
  </si>
  <si>
    <t>22913-22933</t>
  </si>
  <si>
    <t>22933-22958</t>
  </si>
  <si>
    <t>22980-23101</t>
  </si>
  <si>
    <t>23101-23190</t>
  </si>
  <si>
    <t>23190-23305</t>
  </si>
  <si>
    <t>23305-23321</t>
  </si>
  <si>
    <t>23321-23339</t>
  </si>
  <si>
    <t>23339-23407</t>
  </si>
  <si>
    <t>23407-23490</t>
  </si>
  <si>
    <t>23490-23605</t>
  </si>
  <si>
    <t>23606-23655</t>
  </si>
  <si>
    <t>23655-23740</t>
  </si>
  <si>
    <t>9715-9765</t>
  </si>
  <si>
    <t>9765-9768</t>
  </si>
  <si>
    <t>9768-9975</t>
  </si>
  <si>
    <t>9975-10134</t>
  </si>
  <si>
    <t>10134-10185</t>
  </si>
  <si>
    <t>10185-10247</t>
  </si>
  <si>
    <t>10247-10434</t>
  </si>
  <si>
    <t>10434-10639</t>
  </si>
  <si>
    <t>10639-10844</t>
  </si>
  <si>
    <t>10844-10904</t>
  </si>
  <si>
    <t>10904-10921</t>
  </si>
  <si>
    <t>10921-11402</t>
  </si>
  <si>
    <t>11403-11441</t>
  </si>
  <si>
    <t>11441-11497</t>
  </si>
  <si>
    <t>M21HAR311</t>
  </si>
  <si>
    <t>Prayas Bhardwaj</t>
  </si>
  <si>
    <t>71553-71665</t>
  </si>
  <si>
    <t>18642-18719</t>
  </si>
  <si>
    <t>18720-18854</t>
  </si>
  <si>
    <t>18927-19006</t>
  </si>
  <si>
    <t>19006-19078</t>
  </si>
  <si>
    <t>19076-19102</t>
  </si>
  <si>
    <t>19102-19104</t>
  </si>
  <si>
    <t>19111-19119</t>
  </si>
  <si>
    <t>19121-19326</t>
  </si>
  <si>
    <t>19331-19512</t>
  </si>
  <si>
    <t>19512-19588</t>
  </si>
  <si>
    <t>MDA10054</t>
  </si>
  <si>
    <t>Prince Yadav</t>
  </si>
  <si>
    <t>4747-4827</t>
  </si>
  <si>
    <t>4827-4901</t>
  </si>
  <si>
    <t>4901-4986</t>
  </si>
  <si>
    <t>4999-5098</t>
  </si>
  <si>
    <t>5098-5187</t>
  </si>
  <si>
    <t>5193-5234</t>
  </si>
  <si>
    <t>222639-222661</t>
  </si>
  <si>
    <t>222661-222720</t>
  </si>
  <si>
    <t>222720-222789</t>
  </si>
  <si>
    <t>222789-222811</t>
  </si>
  <si>
    <t>222811-222847</t>
  </si>
  <si>
    <t>222847-222973</t>
  </si>
  <si>
    <t>222973-223268</t>
  </si>
  <si>
    <t>223268-223317</t>
  </si>
  <si>
    <t>223317-223383</t>
  </si>
  <si>
    <t>223383-223421</t>
  </si>
  <si>
    <t>223421-223449</t>
  </si>
  <si>
    <t>31277-31350</t>
  </si>
  <si>
    <t>31499-31540</t>
  </si>
  <si>
    <t>33300-33335</t>
  </si>
  <si>
    <t>31633-31681</t>
  </si>
  <si>
    <t>31829-31882</t>
  </si>
  <si>
    <t>31883-31936</t>
  </si>
  <si>
    <t>126225-126229</t>
  </si>
  <si>
    <t>126243-126342</t>
  </si>
  <si>
    <t>126342-126361</t>
  </si>
  <si>
    <t>126362-126646</t>
  </si>
  <si>
    <t>126752-127015</t>
  </si>
  <si>
    <t>127052-127137</t>
  </si>
  <si>
    <t>127137-127161</t>
  </si>
  <si>
    <t>127161-0</t>
  </si>
  <si>
    <t>M21HAR307</t>
  </si>
  <si>
    <t>Rajveer Kumar</t>
  </si>
  <si>
    <t>210011-210063</t>
  </si>
  <si>
    <t>210072-210253</t>
  </si>
  <si>
    <t>210253-210826</t>
  </si>
  <si>
    <t>210826-210867</t>
  </si>
  <si>
    <t>210867-211003</t>
  </si>
  <si>
    <t>211003-211140</t>
  </si>
  <si>
    <t>211140-211289</t>
  </si>
  <si>
    <t>211289-211448</t>
  </si>
  <si>
    <t>211448-211485</t>
  </si>
  <si>
    <t>211485-211617</t>
  </si>
  <si>
    <t>211617-211686</t>
  </si>
  <si>
    <t>211686-211878</t>
  </si>
  <si>
    <t>211878-212103</t>
  </si>
  <si>
    <t>212103-212188</t>
  </si>
  <si>
    <t>6806-6810</t>
  </si>
  <si>
    <t>30862-30916,6819-6820</t>
  </si>
  <si>
    <t>6822-6824,30918-30994</t>
  </si>
  <si>
    <t>6832-6841</t>
  </si>
  <si>
    <t>6843-6848</t>
  </si>
  <si>
    <t>31002-31063</t>
  </si>
  <si>
    <t>31064-31121,6854-6862</t>
  </si>
  <si>
    <t>6864-6868</t>
  </si>
  <si>
    <t>6869-6876</t>
  </si>
  <si>
    <t>6877-6912</t>
  </si>
  <si>
    <t>6913-6947</t>
  </si>
  <si>
    <t>6948-6950</t>
  </si>
  <si>
    <t>MDA10063</t>
  </si>
  <si>
    <t>S Sathish</t>
  </si>
  <si>
    <t>50201-50286</t>
  </si>
  <si>
    <t>50292-50356</t>
  </si>
  <si>
    <t>50358-50405</t>
  </si>
  <si>
    <t>50464-50518</t>
  </si>
  <si>
    <t>50519-50577</t>
  </si>
  <si>
    <t>50606-50650</t>
  </si>
  <si>
    <t>50650-50719</t>
  </si>
  <si>
    <t>50720-50767</t>
  </si>
  <si>
    <t>50781-50841</t>
  </si>
  <si>
    <t>21KAR299</t>
  </si>
  <si>
    <t>Sachin V Patil</t>
  </si>
  <si>
    <t>21385-21483</t>
  </si>
  <si>
    <t>21483-0</t>
  </si>
  <si>
    <t>21491-21498</t>
  </si>
  <si>
    <t>MDA10057</t>
  </si>
  <si>
    <t>Sandip Suralkar</t>
  </si>
  <si>
    <t>27097-27157</t>
  </si>
  <si>
    <t>27164-27221</t>
  </si>
  <si>
    <t>27221-27345</t>
  </si>
  <si>
    <t>27375-27446</t>
  </si>
  <si>
    <t>27446-27484</t>
  </si>
  <si>
    <t>27494-27544</t>
  </si>
  <si>
    <t>27552-27602</t>
  </si>
  <si>
    <t>27602-27664</t>
  </si>
  <si>
    <t>27664-27727</t>
  </si>
  <si>
    <t>27727-27801</t>
  </si>
  <si>
    <t>27801-27871</t>
  </si>
  <si>
    <t>76721-0</t>
  </si>
  <si>
    <t>2929-2963</t>
  </si>
  <si>
    <t>3100-3136</t>
  </si>
  <si>
    <t>247974-248090</t>
  </si>
  <si>
    <t>248090-248122</t>
  </si>
  <si>
    <t>248122-248246</t>
  </si>
  <si>
    <t>248246-248302</t>
  </si>
  <si>
    <t>248302-248358</t>
  </si>
  <si>
    <t>248358-248420</t>
  </si>
  <si>
    <t>248420-248452</t>
  </si>
  <si>
    <t>248452-248511</t>
  </si>
  <si>
    <t>248511-248561</t>
  </si>
  <si>
    <t>248561-248655</t>
  </si>
  <si>
    <t>248655-248715</t>
  </si>
  <si>
    <t>248715-248779</t>
  </si>
  <si>
    <t>248779-248886</t>
  </si>
  <si>
    <t>41572-0</t>
  </si>
  <si>
    <t>41678-41753</t>
  </si>
  <si>
    <t>41753-41863</t>
  </si>
  <si>
    <t>41866-41947</t>
  </si>
  <si>
    <t>41948-42028</t>
  </si>
  <si>
    <t>42028-42105</t>
  </si>
  <si>
    <t>42105-42164</t>
  </si>
  <si>
    <t>42164-0</t>
  </si>
  <si>
    <t>42164-42244</t>
  </si>
  <si>
    <t>48613-48639</t>
  </si>
  <si>
    <t>48665-48752</t>
  </si>
  <si>
    <t>48752-48786</t>
  </si>
  <si>
    <t>48789-48822</t>
  </si>
  <si>
    <t>48830-48879</t>
  </si>
  <si>
    <t>48879-48921</t>
  </si>
  <si>
    <t>48921-48947</t>
  </si>
  <si>
    <t>48980-49070</t>
  </si>
  <si>
    <t>49070-0</t>
  </si>
  <si>
    <t>49084-49098</t>
  </si>
  <si>
    <t>49098-49130</t>
  </si>
  <si>
    <t>49130-49193</t>
  </si>
  <si>
    <t>49193-49225</t>
  </si>
  <si>
    <t>52547-52573</t>
  </si>
  <si>
    <t>52610-52663</t>
  </si>
  <si>
    <t>52663-52699</t>
  </si>
  <si>
    <t>52700-52830</t>
  </si>
  <si>
    <t>52848-52856</t>
  </si>
  <si>
    <t>52856-52960</t>
  </si>
  <si>
    <t>52960-0</t>
  </si>
  <si>
    <t>53020-53058</t>
  </si>
  <si>
    <t>53058-53083</t>
  </si>
  <si>
    <t>53083-53131</t>
  </si>
  <si>
    <t>53134-53207</t>
  </si>
  <si>
    <t>53211-53256</t>
  </si>
  <si>
    <t>53256-53363</t>
  </si>
  <si>
    <t>22AP318</t>
  </si>
  <si>
    <t>Shashikanth Avani</t>
  </si>
  <si>
    <t>10331-10507</t>
  </si>
  <si>
    <t>10507-10522</t>
  </si>
  <si>
    <t>10522-10922</t>
  </si>
  <si>
    <t>10922-11149</t>
  </si>
  <si>
    <t>11150-11312</t>
  </si>
  <si>
    <t>11312-11697</t>
  </si>
  <si>
    <t>MDA10041</t>
  </si>
  <si>
    <t>Shrikrushna Ingale</t>
  </si>
  <si>
    <t>86739-86745</t>
  </si>
  <si>
    <t>86777-86844</t>
  </si>
  <si>
    <t>86844-86869</t>
  </si>
  <si>
    <t>86878-86894</t>
  </si>
  <si>
    <t>86894-86905</t>
  </si>
  <si>
    <t>86905-87015</t>
  </si>
  <si>
    <t>87025-87060</t>
  </si>
  <si>
    <t>87060-87062</t>
  </si>
  <si>
    <t>87062-87097</t>
  </si>
  <si>
    <t>87098-87103</t>
  </si>
  <si>
    <t>87098-87109</t>
  </si>
  <si>
    <t>MDA10051</t>
  </si>
  <si>
    <t>Sonu</t>
  </si>
  <si>
    <t>24724-24738</t>
  </si>
  <si>
    <t>24738-24762</t>
  </si>
  <si>
    <t>24762-24772</t>
  </si>
  <si>
    <t>24772-24804</t>
  </si>
  <si>
    <t>24804-24814</t>
  </si>
  <si>
    <t>24814-24839</t>
  </si>
  <si>
    <t>24839-24853</t>
  </si>
  <si>
    <t>24853-24879</t>
  </si>
  <si>
    <t>24879-25015</t>
  </si>
  <si>
    <t>25014-25035</t>
  </si>
  <si>
    <t>25035-25058</t>
  </si>
  <si>
    <t>25058-25109</t>
  </si>
  <si>
    <t>25109-25137</t>
  </si>
  <si>
    <t>73574-73623</t>
  </si>
  <si>
    <t>73655-73698</t>
  </si>
  <si>
    <t>73699-73741</t>
  </si>
  <si>
    <t>73742-73788</t>
  </si>
  <si>
    <t>73789-73834</t>
  </si>
  <si>
    <t>73835-73876</t>
  </si>
  <si>
    <t>73876-73919</t>
  </si>
  <si>
    <t>73952-73990</t>
  </si>
  <si>
    <t>73990-74023</t>
  </si>
  <si>
    <t>74024-74070</t>
  </si>
  <si>
    <t>74075-74121</t>
  </si>
  <si>
    <t>74126-74141</t>
  </si>
  <si>
    <t>22MAH324</t>
  </si>
  <si>
    <t>Sunil Jaykar</t>
  </si>
  <si>
    <t>66380-66435</t>
  </si>
  <si>
    <t>66435-66529</t>
  </si>
  <si>
    <t>66529-66608</t>
  </si>
  <si>
    <t>66608-66658</t>
  </si>
  <si>
    <t>66658-66769</t>
  </si>
  <si>
    <t>M21HAR308</t>
  </si>
  <si>
    <t>Sunil Singh</t>
  </si>
  <si>
    <t>116603-116667</t>
  </si>
  <si>
    <t>116767-116920</t>
  </si>
  <si>
    <t>116920-117135</t>
  </si>
  <si>
    <t>117135-117267</t>
  </si>
  <si>
    <t>117267-117400</t>
  </si>
  <si>
    <t>117400-117478</t>
  </si>
  <si>
    <t>117478-117643</t>
  </si>
  <si>
    <t>117643-117776</t>
  </si>
  <si>
    <t>117776-117828</t>
  </si>
  <si>
    <t>117828-117996</t>
  </si>
  <si>
    <t>117996-118207</t>
  </si>
  <si>
    <t>118207-118428</t>
  </si>
  <si>
    <t>118428-118743</t>
  </si>
  <si>
    <t>118743-118821</t>
  </si>
  <si>
    <t>211476-211618</t>
  </si>
  <si>
    <t>211804-211850</t>
  </si>
  <si>
    <t>211850-211915</t>
  </si>
  <si>
    <t>211921-211990</t>
  </si>
  <si>
    <t>211990-212090</t>
  </si>
  <si>
    <t>212090-212183</t>
  </si>
  <si>
    <t>212194-212354</t>
  </si>
  <si>
    <t>212354-212423</t>
  </si>
  <si>
    <t>212423-212530</t>
  </si>
  <si>
    <t>212530-212645</t>
  </si>
  <si>
    <t>212645-212695</t>
  </si>
  <si>
    <t>212695-212709</t>
  </si>
  <si>
    <t>22ASM454</t>
  </si>
  <si>
    <t>Udipta Borkataky</t>
  </si>
  <si>
    <t>2518-2535</t>
  </si>
  <si>
    <t>2654-2679</t>
  </si>
  <si>
    <t>2679-2742</t>
  </si>
  <si>
    <t>2754-2818</t>
  </si>
  <si>
    <t>2823-2879</t>
  </si>
  <si>
    <t>2890-2956</t>
  </si>
  <si>
    <t>2968-3030</t>
  </si>
  <si>
    <t>3037-3070</t>
  </si>
  <si>
    <t>3081-0</t>
  </si>
  <si>
    <t>138992-139059</t>
  </si>
  <si>
    <t>139059-139081</t>
  </si>
  <si>
    <t>139082-139096</t>
  </si>
  <si>
    <t>139099-139164</t>
  </si>
  <si>
    <t>139177-139321</t>
  </si>
  <si>
    <t>139321-139471</t>
  </si>
  <si>
    <t>139471-139524</t>
  </si>
  <si>
    <t>139524-139531</t>
  </si>
  <si>
    <t>139531-139603</t>
  </si>
  <si>
    <t>139603-139671</t>
  </si>
  <si>
    <t>21KAR305</t>
  </si>
  <si>
    <t>Venkatesh S</t>
  </si>
  <si>
    <t>51835-51846</t>
  </si>
  <si>
    <t>51865-51893</t>
  </si>
  <si>
    <t>52010-52065</t>
  </si>
  <si>
    <t>52069-52124</t>
  </si>
  <si>
    <t>52135-52181</t>
  </si>
  <si>
    <t>52191-52256</t>
  </si>
  <si>
    <t>52260-52382</t>
  </si>
  <si>
    <t>52393-52443</t>
  </si>
  <si>
    <t>52449-52499</t>
  </si>
  <si>
    <t>52516-52577</t>
  </si>
  <si>
    <t>22HAR323</t>
  </si>
  <si>
    <t>Vijaykumar Pandey</t>
  </si>
  <si>
    <t>M22HAR321</t>
  </si>
  <si>
    <t>Vikas Chahar</t>
  </si>
  <si>
    <t>153297-153372</t>
  </si>
  <si>
    <t>153372-153468</t>
  </si>
  <si>
    <t>153468-0</t>
  </si>
  <si>
    <t>150750-150891</t>
  </si>
  <si>
    <t>150891-151074</t>
  </si>
  <si>
    <t>151074-151148</t>
  </si>
  <si>
    <t>151148-151377</t>
  </si>
  <si>
    <t>151296-151445</t>
  </si>
  <si>
    <t>151445-151538</t>
  </si>
  <si>
    <t>151538-151666</t>
  </si>
  <si>
    <t>151666-151800</t>
  </si>
  <si>
    <t>151800-151869</t>
  </si>
  <si>
    <t>151869-151983</t>
  </si>
  <si>
    <t>151986-152078</t>
  </si>
  <si>
    <t>MDA10045</t>
  </si>
  <si>
    <t>Vikas Sharma</t>
  </si>
  <si>
    <t>22856-22876</t>
  </si>
  <si>
    <t>22916-22967</t>
  </si>
  <si>
    <t>23029-23087</t>
  </si>
  <si>
    <t>23087-23112</t>
  </si>
  <si>
    <t>23136-23188</t>
  </si>
  <si>
    <t>23188-23235</t>
  </si>
  <si>
    <t>23235-23269</t>
  </si>
  <si>
    <t>22KAR321</t>
  </si>
  <si>
    <t>Vishwaroop Jaishetty</t>
  </si>
  <si>
    <t>87565-87649</t>
  </si>
  <si>
    <t>87728-87789</t>
  </si>
  <si>
    <t>87790-87817</t>
  </si>
  <si>
    <t>87818-87895</t>
  </si>
  <si>
    <t>87922-87946</t>
  </si>
  <si>
    <t>87947-87973</t>
  </si>
  <si>
    <t>87974-88060</t>
  </si>
  <si>
    <t>88060-88128</t>
  </si>
  <si>
    <t>88128-88184</t>
  </si>
  <si>
    <t>88185-88214</t>
  </si>
  <si>
    <t>231272-0</t>
  </si>
  <si>
    <t>32812-32839</t>
  </si>
  <si>
    <t>32864-33104</t>
  </si>
  <si>
    <t>33104-33124</t>
  </si>
  <si>
    <t>33150-33428</t>
  </si>
  <si>
    <t>33430-33470</t>
  </si>
  <si>
    <t>33471-33746</t>
  </si>
  <si>
    <t>33747-33765</t>
  </si>
  <si>
    <t>33767-33820</t>
  </si>
  <si>
    <t>33820-33832</t>
  </si>
  <si>
    <t>33833-33884</t>
  </si>
  <si>
    <t>22MAH322</t>
  </si>
  <si>
    <t>Vrushabh B Gawande</t>
  </si>
  <si>
    <t>62270-62368</t>
  </si>
  <si>
    <t>62361-62486</t>
  </si>
  <si>
    <t>62486-62510</t>
  </si>
  <si>
    <t>62510-62593</t>
  </si>
  <si>
    <t>62637-62706</t>
  </si>
  <si>
    <t>62708-62808</t>
  </si>
  <si>
    <t>62808-62838</t>
  </si>
  <si>
    <t>17-185</t>
  </si>
  <si>
    <t>185-272</t>
  </si>
  <si>
    <t>272-360</t>
  </si>
  <si>
    <t>J37H+9QC, Vidyaranyapura - Nanjangud Rd, Rudrakshi Pura, Karnataka 571433, India</t>
  </si>
  <si>
    <t>Chamarajanagar, NH-209, Bangalore Karnataka Highway, Kollegal, Kollegal, Karnataka 571440, India</t>
  </si>
  <si>
    <t>CPJJ+VR3, Chikkaballapur, Karnataka 562101, India</t>
  </si>
  <si>
    <t>CPMM+X8W, Chikkaballapur, Karnataka 562101, India</t>
  </si>
  <si>
    <t>QQJX+CW7, Bagepalli, Karnataka 561207, India</t>
  </si>
  <si>
    <t>Kanteerava Studio, 2G9J+9Q3, Kanthirava Layout, Kanteerava Nagar, Nandini Layout, Bengaluru, Karnataka 560096, India</t>
  </si>
  <si>
    <t>word nu.5 shivaji word, Bajpai Colony, Baloda Bazar, Chhattisgarh 493332, India</t>
  </si>
  <si>
    <t>M554+65R, Bajpai Colony, Baloda Bazar, Chhattisgarh 493332, India</t>
  </si>
  <si>
    <t>Center/Chhattisgarh/Baloda Bazar</t>
  </si>
  <si>
    <t>4GX4+2GF, Bagharra, Chhattisgarh 491559, India</t>
  </si>
  <si>
    <t>M554+4FH, Gaurav Path, Baloda Bazar, Chhattisgarh 493332, India</t>
  </si>
  <si>
    <t>M554+2HM, Gaurav Path, Baloda Bazar, Chhattisgarh 493332, India</t>
  </si>
  <si>
    <t>M554+5J7, Gaurav Path, Bajpai Colony, Baloda Bazar, Chhattisgarh 493332, India</t>
  </si>
  <si>
    <t>6MPC+M33, Mahaveer Nagar, Raipur, Chhattisgarh 492001, India</t>
  </si>
  <si>
    <t>6MP9+GX4, Shatabdi Nagar, Telibandha, Raipur, Chhattisgarh 492001, India</t>
  </si>
  <si>
    <t>Beside Expressway, Ring Road No. 1, opp. Shubham Corporate, Telibandha, Raipur, Chhattisgarh 492001, India</t>
  </si>
  <si>
    <t>6R4J+5QG, Dindori, Maharashtra 422202, India</t>
  </si>
  <si>
    <t>Shree Ganesh Complex, Shivaji Nagar, 6R5M+FRH, Dindori, Maharashtra 422202, India</t>
  </si>
  <si>
    <t>6R5M+RMJ, Maharashtra 422202, India</t>
  </si>
  <si>
    <t>Saputara - Nashik Rd, Dindori, Maharashtra 422202, India</t>
  </si>
  <si>
    <t>6R5P+4F5, Dindori, Maharashtra 422202, India</t>
  </si>
  <si>
    <t>6R5P+33J, Nashik, Maharashtra 422202, India</t>
  </si>
  <si>
    <t>1, Dnyaneshwar Nagar, Pathardi Phata, Nashik, Maharashtra 422010, India</t>
  </si>
  <si>
    <t>6R5M+4FP, Dindori, Maharashtra 422202, India</t>
  </si>
  <si>
    <t>Adivashi Sanskrutik Bhavan Road, 6R5M+RMJ, Maharashtra 422202, India</t>
  </si>
  <si>
    <t>Shop No 1 Palakhed Road, Dindori, Maharashtra 422202, India</t>
  </si>
  <si>
    <t>C-4, Meri - Rasbihari Link Rd, Kalananagar, Pokar Colony, Vaiduwadi, Nashik, Maharashtra 422004, India</t>
  </si>
  <si>
    <t>22X2+XQJ, Mellahalli, Karnataka 571441, India</t>
  </si>
  <si>
    <t>3X2X+XXJ, Mellahalli, Karnataka 571441, India</t>
  </si>
  <si>
    <t>South/Karnataka/KOLLEGALA</t>
  </si>
  <si>
    <t>Unnamed Road, Honnur, Karnataka 571441, India</t>
  </si>
  <si>
    <t>5444+WCC, Balepet, Kollegal, Karnataka 571440, India</t>
  </si>
  <si>
    <t>3232+339, Mellahalli, Karnataka 571441, India</t>
  </si>
  <si>
    <t>CM5W+7WC, Kathadimattam, Ooty, Tamil Nadu 643001, India</t>
  </si>
  <si>
    <t>9Q4P+55Q, Balaclava, Coonoor, Tamil Nadu 643231, India</t>
  </si>
  <si>
    <t>29/36 Commercial road,, opp Cooperative Supermarket, Upper Bazar, Ooty, Tamil Nadu 643001, India</t>
  </si>
  <si>
    <t>7PRQ+J85, Vajamangala, Karnataka 570028, India</t>
  </si>
  <si>
    <t>3275+5CF, Dr B R Ambedkar Rd, Honnur, Karnataka 571441, India</t>
  </si>
  <si>
    <t>Ram bhaksh h no. 610/28, Subhash Nagar, Jind, Haryana 126102, India</t>
  </si>
  <si>
    <t>North/Haryana/JIND1</t>
  </si>
  <si>
    <t>8838+7M4, Rohtak Rd, Ram Nagar, Jind, Haryana 126102, India</t>
  </si>
  <si>
    <t>8839+92R, Ram Nagar, Jind, Haryana 126102, India</t>
  </si>
  <si>
    <t>8838+4FF, Ram Nagar, Jind, Haryana 126102, India</t>
  </si>
  <si>
    <t>3, Ambala Chandigarh Expy, near Hotel City Inn, Hiway, Main Market, Zirakpur, Punjab 140603, India</t>
  </si>
  <si>
    <t>Ground Floor, Cosmo Plaza, Ambala Chandigarh Expy, Zirakpur, Punjab 140603, India</t>
  </si>
  <si>
    <t>shop no 8, Jind Truck Union, Ram Nagar, Jind, Haryana 126102, India</t>
  </si>
  <si>
    <t>8847+8Q6, Subhash Nagar, Jind, Haryana 126102, India</t>
  </si>
  <si>
    <t>Ballabh Garh, 88R6+4W6, Sector 25, Faridabad, Haryana 121004, India</t>
  </si>
  <si>
    <t>43Q2+72R Krapa Kunj Park B, krapa kunj colony, Kaveri Vihar Phase II, Sri Nikunj Colony, Agra, Uttar Pradesh 282001, India</t>
  </si>
  <si>
    <t>North/Haryana/AGRA</t>
  </si>
  <si>
    <t>5X7R+67W, Ghodke Nagar Rd, Punam Saras Nagar, Pimpalgaon Baswant, Maharashtra 422209, India</t>
  </si>
  <si>
    <t>32H7+739, Sukene - Chandori Rd, Kasabe Sukene, Maharashtra 422301, India</t>
  </si>
  <si>
    <t>Neminath nagar housing society umbarkhed road pimpalgaon aswant, 5X8J+FQC, Pimpalgaon Baswant, Maharashtra 422209, India</t>
  </si>
  <si>
    <t>Flat No.09, A-Wing, Uma Residency, Gayatri Nagar, Meri - Rasbihari Link Rd, near Rajmata Mangal Karyalay, Kalananagar, Pokar Col</t>
  </si>
  <si>
    <t>5XGP+MHX, Mumbai - Agra National Hwy, Pimpalgaon Baswant, Maharashtra 422209, India</t>
  </si>
  <si>
    <t>20.106551,73.8868761</t>
  </si>
  <si>
    <t>Shop No 1 At Post, Umberkhed Rd, Pimpalgaon Baswant, Maharashtra 422209, India</t>
  </si>
  <si>
    <t>Surbi Market, 5XFV+75Q, Old Agra Rd, Behind Gram Panchayat, Pimpalgaon Baswant, Maharashtra 422209, India</t>
  </si>
  <si>
    <t>M8J6+5M9, Link Rd, Tiranga Nagar, Pandharpur, Maharashtra 413304, India</t>
  </si>
  <si>
    <t>28/1, Link Rd, Tiranga Nagar, Pandharpur, Maharashtra 413304, India</t>
  </si>
  <si>
    <t>M8G4+6G, Prahlad Nagar, Pandharpur, Maharashtra 413304, India</t>
  </si>
  <si>
    <t>Plot No. 18, in front half Hariom Residency, Shivaji Nagar, Isbavi, Pandharpur, Maharashtra 413304, India</t>
  </si>
  <si>
    <t>Hari om recydency pandharpur veg treat hotel malape wada, M8J5+PWP, Shivaji Nagar, Isbavi, Pandharpur, Maharashtra 413304, India</t>
  </si>
  <si>
    <t>M8H6+F94, Tiranga Nagar, Pandharpur, Maharashtra 413304, India</t>
  </si>
  <si>
    <t>M8J5+MWJ, Isbavi, Pandharpur, Maharashtra 413304, India</t>
  </si>
  <si>
    <t>26/22, Hotel Veg Treat back side, Shivaji Nagar, Isbavi, Pandharpur, Maharashtra 413304, India</t>
  </si>
  <si>
    <t>M8H6+FM9, Link Rd, Tiranga Nagar, Pandharpur, Maharashtra 413304, India</t>
  </si>
  <si>
    <t>7984+XW7, Ajab, Gujarat 362229, India</t>
  </si>
  <si>
    <t>7992+4M, Ajab, Gujarat 362229, India</t>
  </si>
  <si>
    <t>7983+P8W, Ajab, Gujarat 362229, India</t>
  </si>
  <si>
    <t>High school road,pabina taka, 7984+CJF, near by sahkari mandli ground, Ajab, Gujarat 362229, India</t>
  </si>
  <si>
    <t>R2GR+8XJ, Saiyed Wada, Una, Gujarat 362560, India</t>
  </si>
  <si>
    <t>Amargadh - Mendarda - Maliya Rd, Gujarat 362229, India</t>
  </si>
  <si>
    <t>GJ SH 96, Baradiya, Gujarat 362130, India</t>
  </si>
  <si>
    <t>R2GR+CW8, St Colony, Una, Gujarat 362560, India</t>
  </si>
  <si>
    <t>st complex prakash medical same, Saiyed Wada, Una, Gujarat 362560, India</t>
  </si>
  <si>
    <t>7984+FG3, near shakari mandali, Ajab, Gujarat 362229, India</t>
  </si>
  <si>
    <t>Unnamed Road, Andhra Pradesh 523320, India</t>
  </si>
  <si>
    <t>Q5WX+XX9, Pucchkayala palli, Andhra Pradesh 523320, India</t>
  </si>
  <si>
    <t>South/AP &amp; TS/MARKAPUR2</t>
  </si>
  <si>
    <t>Q5WX+RJ7, Pucchkayala palli, Andhra Pradesh 523320, India</t>
  </si>
  <si>
    <t>MDR63, Sunkesula, Andhra Pradesh 523329, India</t>
  </si>
  <si>
    <t>MDR63, Jammana Palle, Andhra Pradesh 523329, India</t>
  </si>
  <si>
    <t>5RXW+X55, Hallur, Karnataka 587115, India</t>
  </si>
  <si>
    <t>5RXW+7X7, Hallur, Karnataka 587115, India</t>
  </si>
  <si>
    <t>6R2X+935, Hallur, Karnataka 587115, India</t>
  </si>
  <si>
    <t>5RVW+9JW, Hallur, Karnataka 587115, India</t>
  </si>
  <si>
    <t>SH 135, Bhagavati, Karnataka 587115, India</t>
  </si>
  <si>
    <t>6R4P+MC9, Hallur, Karnataka 587115, India</t>
  </si>
  <si>
    <t>15 Bagalkot taluk, Hallur, Karnataka 587115, India</t>
  </si>
  <si>
    <t>X98J+RQJ, Musalgoan, Maharashtra 441203, India</t>
  </si>
  <si>
    <t>X99J+7P2, Musalgoan, Maharashtra 441202, India</t>
  </si>
  <si>
    <t>West/Maharashtra-02/Mandhal</t>
  </si>
  <si>
    <t>X98J+XXW, Musalgoan, Maharashtra 441202, India</t>
  </si>
  <si>
    <t>X99J+6RG, Musalgoan, Maharashtra 441202, India</t>
  </si>
  <si>
    <t>Unnamed Road, Banor, Maharashtra 441203, India</t>
  </si>
  <si>
    <t>Unnamed Road, Karnal, Haryana 132001, India</t>
  </si>
  <si>
    <t>North/Haryana1/KARNAL 2</t>
  </si>
  <si>
    <t>Unnamed Road, Rasulpur Khurd, Haryana 132001, India</t>
  </si>
  <si>
    <t>M2FR+HP6, Rasulpur Khurd, Haryana 132001, India</t>
  </si>
  <si>
    <t>2590, Vikas Colony, Vikas Nagar, Karnal, Haryana 132001, India</t>
  </si>
  <si>
    <t>M2JP+454, Chhapra Khera, Haryana 132001, India</t>
  </si>
  <si>
    <t>à¤ªà¥à¤°à¥€à¤¤à¤®à¤ªà¥à¤°à¤¾ à¤•à¥à¤²à¥‹à¤¨à¥€ à¤¬à¥‚à¤¢à¤¼à¤¾ à¤–à¥‡à¤¡à¤¼à¤¾, Karnal, Haryana 132001, India</t>
  </si>
  <si>
    <t>Shop. No. 11, 18736, Saibaba Temple Rd, near Shivalam, Kashibugga, LB Nagar, Warangal, Telangana 506002, India</t>
  </si>
  <si>
    <t>11-18-1134/1, Vivekananda Colony, Kashibugga, LB Nagar, Warangal, Telangana 506002, India</t>
  </si>
  <si>
    <t>South/AP &amp; TS/WARANGAL</t>
  </si>
  <si>
    <t>no 2, 4, Vivekananda Colony Rd, Vivekananda Colony, Kashibugga, LB Nagar, Warangal, Telangana 506002, India</t>
  </si>
  <si>
    <t>Khedkar Lay Out Adivasi Colony Hop No.1 Adivasi Colony, Pipri, Wardha, Maharashtra 442001, India</t>
  </si>
  <si>
    <t>QJ54+XRQ, Dhobale Lyout, Alodi, Wardha, Maharashtra 442001, India</t>
  </si>
  <si>
    <t>Sable Lay Out, Shop No 1, Dhobale Lyout, Pipri, Wardha, Maharashtra 442001, India</t>
  </si>
  <si>
    <t>Rajiv Nagar Bus Stop, Wardha Rd, Near Radisson Hotel, Jai Prakash Nagar, Somalwada, Nagpur, Maharashtra 440025, India</t>
  </si>
  <si>
    <t>43QQ+88P, Sitabuldi, Nagpur, Maharashtra 440018, India</t>
  </si>
  <si>
    <t>QJ65+5GC, Dhobale Lyout, Alodi, Wardha, Maharashtra 442001, India</t>
  </si>
  <si>
    <t>QJ65+CF8, Dhobale Lyout, Alodi, Wardha, Maharashtra 442001, India</t>
  </si>
  <si>
    <t>PJX3+R9R, Sudampuri, Wardha, Maharashtra 442001, India</t>
  </si>
  <si>
    <t>QJ64+W8J, Dhobale Lyout, Pipri, Wardha, Maharashtra 442001, India</t>
  </si>
  <si>
    <t>Radhe Complex, Maganwadi, Wardha, Maharashtra 442001, India</t>
  </si>
  <si>
    <t>Rukmani Nagar, near Bus Stand, New Radhakisan Plots, Akola, Maharashtra 444001, India</t>
  </si>
  <si>
    <t>Khetan Complex, Opposite to Agresan Bhavan, P243+9PQ, near Central Bank, New Radhakisan Plots, Akola, Maharashtra 444001, India</t>
  </si>
  <si>
    <t>QJ55+FP4, Pipri, Wardha, Maharashtra 442001, India</t>
  </si>
  <si>
    <t>Unnamed Road, Khadki, Akola, Maharashtra 444004, India</t>
  </si>
  <si>
    <t>M29C+73F, Khadki, Akola, Maharashtra 444004, India</t>
  </si>
  <si>
    <t>M28C+8J6, 2, Khadki, Akola, Maharashtra 444004, India</t>
  </si>
  <si>
    <t>M29C+8QG, Khadki, Akola, Maharashtra 444004, India</t>
  </si>
  <si>
    <t>Mangrulpir - Akola Road, Khadki, Khadki, Akola, Maharashtra 444004, India</t>
  </si>
  <si>
    <t>M28F+HCP, Saudamini Nagar, Khadki, Akola, Maharashtra 444004, India</t>
  </si>
  <si>
    <t>40, MH SH 197, Saudamini Nagar, Z P Colony, Akola, Maharashtra 444104, India</t>
  </si>
  <si>
    <t>ShriKrupa saund &amp; Aqua RO sarvies first CT bas stop, M29C+539, Khadki, Akola, Maharashtra 444004, India</t>
  </si>
  <si>
    <t>M28C+HVP, Khadki, Akola, Maharashtra 444004, India</t>
  </si>
  <si>
    <t>shri swami samarth road, M29C+8QG, Khadki, Akola, Maharashtra 444004, India</t>
  </si>
  <si>
    <t>sattha colony, 3PPR+353, Market Yard Rd, Bhavani Nagar, Ahmednagar, Maharashtra 414001, India</t>
  </si>
  <si>
    <t>3PJV+87W, Iwale Nagar, Ahmednagar, Maharashtra 414001, India</t>
  </si>
  <si>
    <t>3QG2+J47, Iwale Nagar, Ahmednagar, Maharashtra 414001, India</t>
  </si>
  <si>
    <t>3PGR+3XW, Iwale Nagar, Ahmednagar, Maharashtra 414001, India</t>
  </si>
  <si>
    <t>3PHX+VQF, Namganga Rd, Iwale Nagar, Ahmednagar, Maharashtra 414001, India</t>
  </si>
  <si>
    <t>3PHW+9M4, Namganga Rd, Sarasnagar, Iwale Nagar, Ahmednagar, Maharashtra 414001, India</t>
  </si>
  <si>
    <t>3PMR+36H, Behind Indraprastha Karyalaya, Bhavani Nagar, Ahmednagar, Maharashtra 414001, India</t>
  </si>
  <si>
    <t>3PFV+GWF, Sarasnagar, Iwale Nagar, Ahmednagar, Maharashtra 414001, India</t>
  </si>
  <si>
    <t>Vishal Heights, Madhuban Colony, Kapileshwar Nagar, Iwale Nagar, Ahmednagar, Maharashtra 414001, India</t>
  </si>
  <si>
    <t>744P+7GJ, Sarathi Nagar, Khammam, Telangana 507003, India</t>
  </si>
  <si>
    <t>744P+9FQ, Sarathi Nagar, Khammam, Telangana 507003, India</t>
  </si>
  <si>
    <t>64VQ+88J, Kinnerasani Theatre Rd, Gandhi Nagar, Praksh Nagar, Khammam, Telangana 507001, India</t>
  </si>
  <si>
    <t>743V+4J3, Balaji Nagar, Khammam, Telangana 507001, India</t>
  </si>
  <si>
    <t>64VM+H28, Gandhi Nagar, Praksh Nagar, Khammam, Telangana 507001, India</t>
  </si>
  <si>
    <t>7525+JVJ, Wyra Rd, Indira Nagar Colony, Khammam, Telangana 507002, India</t>
  </si>
  <si>
    <t>64XP+C5H, PSR Rd, Ramachandra Nagar Colony, Moti Nagar, Khammam, Telangana 507001, India</t>
  </si>
  <si>
    <t>h.no.1-4-14/1, Sarathi Nagar, Khammam, Telangana 507003, India</t>
  </si>
  <si>
    <t>88, Saradhinager, Khammam, Telangana 507001, India</t>
  </si>
  <si>
    <t>5-1-480, Wyra Rd, Kaviraj Nagar, Khammam, Telangana 507002, India</t>
  </si>
  <si>
    <t>65R6+Q4F, Mini Tank Bund Rd, Manikya Nagar Basti, Khammam, Telangana 507002, India</t>
  </si>
  <si>
    <t>Unnamed Road, Dhanavaigudem, Telangana 507163, India</t>
  </si>
  <si>
    <t>PSR road, near 3 Town Police Station, Gandhi Nagar, Praksh Nagar, Khammam, Telangana 507001, India</t>
  </si>
  <si>
    <t>1-8-79/80, Jubliee Club-Collector Office Rd, Moti Nagar, Khammam, Telangana 507003, India</t>
  </si>
  <si>
    <t>A/2, Brahmapuri Society, Waghodia Rd, Batuji Nagar, Kendranagar, Vadodara, Gujarat 390019, India</t>
  </si>
  <si>
    <t>E/15, Bapod, Nalanda Society, Vadodara, Gujarat 390017, India</t>
  </si>
  <si>
    <t>D/2, Bapod, Nalanda Society, Vadodara, Gujarat 390017, India</t>
  </si>
  <si>
    <t>RW2Q+W9M, Maya Ram Colony, Taraori, Haryana 132116, India</t>
  </si>
  <si>
    <t>RW3H+4CJ, Old Taraori, Taraori, Haryana 132116, India</t>
  </si>
  <si>
    <t>RW2H+QH6, near Civil Hospital, Old Taraori, Taraori, Haryana 132116, India</t>
  </si>
  <si>
    <t>RW2H+9XP, Taraori, Haryana 132116, India</t>
  </si>
  <si>
    <t>PX9J+PWV, Atta - Bilaspur Rd, Baldi, Baldhi Part, Haryana 132001, India</t>
  </si>
  <si>
    <t>Mittal Nivas, RW2H+QH6, near Civil Hospital, Old Taraori, Taraori, Haryana 132116, India</t>
  </si>
  <si>
    <t>S.C.O 58 Royale Estate Chandigarh Road Zirakpur, Zirakpur, Punjab 140603, India</t>
  </si>
  <si>
    <t>JRQC+CXG, Gazipur, Punjab 140603, India</t>
  </si>
  <si>
    <t>RW2H+QX2, Old Taraori, Taraori, Haryana 132116, India</t>
  </si>
  <si>
    <t>4333+PP5, Road, Gajanan Nagar, Akot, Maharashtra 444101, India</t>
  </si>
  <si>
    <t>1 Hanuman Nagar, near Hanuman Mandir, Gajanan Nagar, Akot, Maharashtra 444101, India</t>
  </si>
  <si>
    <t>1 Hanuman Nagar, near Freedom School, Gajanan Nagar, Akot, Maharashtra 444101, India</t>
  </si>
  <si>
    <t>4324+2Q8, Talokar Pura, Yaqub Pura, Akot, Maharashtra 444101, India</t>
  </si>
  <si>
    <t>4324+FJ5, Akot Rd, Gajanan Nagar, Akot, Maharashtra 444101, India</t>
  </si>
  <si>
    <t>2 Hanuman Nagar Akot, Gajanan Nagar, Akot, Maharashtra 444101, India</t>
  </si>
  <si>
    <t>4343+FH5, Gajanan Nagar, Akot, Maharashtra 444101, India</t>
  </si>
  <si>
    <t>Unnamed Road, Maharashtra 444101, India</t>
  </si>
  <si>
    <t>4324+PMQ, Gajanan Nagar, Akot, Maharashtra 444101, India</t>
  </si>
  <si>
    <t>1, Hiwarkhed Rd, near Pote School, Appaswami Colony, Akot, Maharashtra 444101, India</t>
  </si>
  <si>
    <t>Julana - Nandgarh - Pillu Khera Rd, Pillu Khera, Haryana 126113, India</t>
  </si>
  <si>
    <t>8GGQ+H89, Kharak Gagar, Haryana 126113, India</t>
  </si>
  <si>
    <t>North/Haryana/Pilukhera</t>
  </si>
  <si>
    <t>8GGP+JQR, Kharak Gagar, Haryana 126113, India</t>
  </si>
  <si>
    <t>8GGP+9JM, Kharak Gagar, Haryana 126113, India</t>
  </si>
  <si>
    <t>8GV9+7P3, Pillu Khera, Haryana 126113, India</t>
  </si>
  <si>
    <t>Unnamed Road, Haryana 126113, India</t>
  </si>
  <si>
    <t>7M27+69H, Gohana - Safidon Rd, Jagsi, Haryana 131301, India</t>
  </si>
  <si>
    <t>75C9+Q55, Kalawad, Haryana 133103, India</t>
  </si>
  <si>
    <t>75F9+CH5, Kalawad, Haryana 133103, India</t>
  </si>
  <si>
    <t>North/Haryana1/Yamunanagar</t>
  </si>
  <si>
    <t>Milakh Kota-Kalawar Rd, Khanpur Rajputan, Haryana 133206, India</t>
  </si>
  <si>
    <t>Manka-Kalawar Rd, Lawani, Haryana 133206, India</t>
  </si>
  <si>
    <t>758C+V9X, Kalawar, Haryana 133103, India</t>
  </si>
  <si>
    <t>Dhanaura-Mulana Rd, Jharu Majra, Haryana 133203, India</t>
  </si>
  <si>
    <t>Aloft Chandigarh Zirakpur, MEDALLION HOTEL, Zirakpur, Punjab 140603, India</t>
  </si>
  <si>
    <t>77P7+XG7, Rasulpur, Haryana 135102, India</t>
  </si>
  <si>
    <t>75C8+7XW Maharana Partap chowk, Kalawad, Haryana 133103, India</t>
  </si>
  <si>
    <t>75FC+J2F, Nagla Khalsa, Haryana 133103, India</t>
  </si>
  <si>
    <t>75C9+7VW, Kalawar, Haryana 133103, India</t>
  </si>
  <si>
    <t>Area Sales Manager-E3</t>
  </si>
  <si>
    <t>Q642+XVR, Assam Trunk Rd, Choladhara, Jorhat, Assam 785001, India</t>
  </si>
  <si>
    <t>JPR, Gar-Ali, Jorhat, Assam 785001, India</t>
  </si>
  <si>
    <t>P6Q9+24G, Chandan Nagar, Jorhat, Assam 785008, India</t>
  </si>
  <si>
    <t>Q648+JX5, JPR, Gar-Ali, Jorhat, Assam 785001, India</t>
  </si>
  <si>
    <t>Q679+36G, New Colony, Jorhat, Assam 785001, India</t>
  </si>
  <si>
    <t>P6P9+3QH, Club Rd, Chandan Nagar, Jorhat, Assam 785008, India</t>
  </si>
  <si>
    <t>2G3V+C6J, Shiv Colony, Jalgaon, Maharashtra 425001, India</t>
  </si>
  <si>
    <t>West/Maharashtra-02/JALGAON1</t>
  </si>
  <si>
    <t>Gat. No. 67/1,plot 53,shop No1, Vidya Vihar, Shiv Colony, Jalgaon, Maharashtra 425001, India</t>
  </si>
  <si>
    <t>2G3R+Q75, Vidya Vihar, Shiv Colony, Jalgaon, Maharashtra 425001, India</t>
  </si>
  <si>
    <t>Plot no 04 , gat no. 85 , Vidya Vihar, Aasha Baba Nagar, Shiv Colony, Jalgaon, Maharashtra 425001, India</t>
  </si>
  <si>
    <t>Asha Baba Nagar, Shiv Colony, 2G4Q+5Q8, Nisarg Colony, Shiv Colony, Jalgaon, Maharashtra 425001, India</t>
  </si>
  <si>
    <t>2G3R+X63, Vidya Vihar, Shiv Colony, Jalgaon, Maharashtra 425001, India</t>
  </si>
  <si>
    <t>2G3R+8Q5, Kolhe Nagar, Ramanand Nagar, Jalgaon, Maharashtra 425001, India</t>
  </si>
  <si>
    <t>2QXQ+8RJ, Anil Nagar, Bhusawal, Maharashtra 425203, India</t>
  </si>
  <si>
    <t>2G4R+3CH, Vidya Vihar, Shiv Colony, Jalgaon, Maharashtra 425001, India</t>
  </si>
  <si>
    <t>2G4R+96P, Vidya Vihar, Shiv Colony, Jalgaon, Maharashtra 425001, India</t>
  </si>
  <si>
    <t>Plot no 15 , gat no. 85 Ganesh park, Vidya Vihar, Shiv Colony, Jalgaon, Maharashtra 425001, India</t>
  </si>
  <si>
    <t>Marketing Officer-E1</t>
  </si>
  <si>
    <t>P6RF+863, Dubal, Haryana 136117, India</t>
  </si>
  <si>
    <t>P6P8+HC6, Kurar, Haryana 136117, India</t>
  </si>
  <si>
    <t>North/Haryana/Kaithal1</t>
  </si>
  <si>
    <t>P6J5+875, Kurar, Haryana 136117, India</t>
  </si>
  <si>
    <t>Unnamed Road, Kurar, Haryana 126116, India</t>
  </si>
  <si>
    <t>P6P7+7WC, Kurar, Haryana 136117, India</t>
  </si>
  <si>
    <t>H.NO.:-168,BLOCK NO.:- 44, Kurar, Haryana 136117, India</t>
  </si>
  <si>
    <t>P6M7+GMH, Kurar, Haryana 136117, India</t>
  </si>
  <si>
    <t>Unnamed Road, Kurar, Haryana 136117, India</t>
  </si>
  <si>
    <t>P6J6+M3R, Kurar, Haryana 126116, India</t>
  </si>
  <si>
    <t>M6HP+97V, Kalayat Rd, Kalayat, Haryana 136117, India</t>
  </si>
  <si>
    <t>RVV4+8FR, Jhalli, Telangana 506332, India</t>
  </si>
  <si>
    <t>2H68+59J, Gandhi Nagar, Reddy Colony, Hanamkonda, Telangana 506001, India</t>
  </si>
  <si>
    <t>XQ26+792, Warangal Rd, Viswanathpur, Telangana 506331, India</t>
  </si>
  <si>
    <t>9RF5+82Q Bhathiji Mandir, Khanpur, Gujarat 388580, India</t>
  </si>
  <si>
    <t>9RH4+QM6, Ranoli, Gujarat 388580, India</t>
  </si>
  <si>
    <t>37,barkham Das Chora, Alankar Society, Modasa, Gujarat 383315, India</t>
  </si>
  <si>
    <t>F78X+5G5, Alankar Society, Modasa, Gujarat 383315, India</t>
  </si>
  <si>
    <t>Unnamed Road, Khanpur, Gujarat 388580, India</t>
  </si>
  <si>
    <t>9RH5+XGW, Anand, Gujarat 388580, India</t>
  </si>
  <si>
    <t>9RH4+7FF, Ranoli, Gujarat 388580, India</t>
  </si>
  <si>
    <t>Opposite LIC office, hosalli road, next to little hearts school, CGFQ+P2G, Ambedkar Nagar, Gangavathi, Karnataka 583227, India</t>
  </si>
  <si>
    <t>South/Karnataka/Gangavati</t>
  </si>
  <si>
    <t>CGFQ+V77, near Little Hart's school, Ambedkar Nagar, Gangavathi, Karnataka 583227, India</t>
  </si>
  <si>
    <t>CGFP+4R9, Ambedkar Nagar, Gangavathi, Karnataka 583227, India</t>
  </si>
  <si>
    <t>CGGP+6C3, Ambedkar Nagar, Gangavathi, Karnataka 583227, India</t>
  </si>
  <si>
    <t>CGFQ+X6, Ambedkar Nagar, Gangavathi, Karnataka 583227, India</t>
  </si>
  <si>
    <t>Anegundi Main Road, Viprasai Nagar, Gangavathi, Karnataka 583227, India</t>
  </si>
  <si>
    <t>CGGJ+R93, Vidya Nagar, Gangavathi, Karnataka 583227, India</t>
  </si>
  <si>
    <t>Vasavi Circle M G Road, CGGH+XHC, Vidya Nagar, Gangavathi, Karnataka 583227, India</t>
  </si>
  <si>
    <t>HV34+268, Pradhyapak Colony, Shahalangadi, Hinganghat, Maharashtra 442301, India</t>
  </si>
  <si>
    <t>West/Maharashtra-02/WADNER 2</t>
  </si>
  <si>
    <t>HV24+GM, Shahalangadi, Hinganghat, Maharashtra 442301, India</t>
  </si>
  <si>
    <t>HV24+J2Q, Pradhyapak Colony, Shahalangadi, Hinganghat, Maharashtra 442301, India</t>
  </si>
  <si>
    <t>HV23+7VM, Pradhyapak Colony, Shahalangadi, Hinganghat, Maharashtra 442301, India</t>
  </si>
  <si>
    <t>CFH6+43J, Ramankary, Kerala 689595, India</t>
  </si>
  <si>
    <t>CFJ3+5V8, Kuttanad Taluk, Kerala 689595, India</t>
  </si>
  <si>
    <t>CFG3+QM3, Kuttanad Taluk, Kerala 689595, India</t>
  </si>
  <si>
    <t>CFG2+WXQ, Kuttanad Taluk, Kerala 689595, India</t>
  </si>
  <si>
    <t>CFG4+H3J, Alappuzha - Changanassery Rd, Kuttanad Taluk, Kerala 689595, India</t>
  </si>
  <si>
    <t>CGRJ+3PM, EMS Rd, Puzhavathu, Changanassery, Kerala 686101, India</t>
  </si>
  <si>
    <t>5HCJ+93F, Kharadi Waga, Sankheda, Gujarat 391145, India</t>
  </si>
  <si>
    <t>5HFM+7C2, Sankheda, Gujarat 391145, India</t>
  </si>
  <si>
    <t>Opposite garden, beside fish market, Sankheda, Gujarat 391145, India</t>
  </si>
  <si>
    <t>5HCJ+J42, Kharadi Waga, Sankheda, Gujarat 391145, India</t>
  </si>
  <si>
    <t>A12 D.B.Parekh Shopping Opp.College, Sankheda, Gujarat 391145, India</t>
  </si>
  <si>
    <t>sankheda, Sankheda, Gujarat 391145, India</t>
  </si>
  <si>
    <t>5HFM+879, makni Road, Sankheda, Gujarat 391145, India</t>
  </si>
  <si>
    <t>5HCH+2Q2, Sankheda, Gujarat 391145, India</t>
  </si>
  <si>
    <t>5HCJ+G8Q, Kharadi Waga, Sankheda, Gujarat 391145, India</t>
  </si>
  <si>
    <t>33VG+XG9, Madigiri, Karnataka 584129, India</t>
  </si>
  <si>
    <t>33VG+RX6, Madigiri, Karnataka 584129, India</t>
  </si>
  <si>
    <t>South/Karnataka/Sirwar</t>
  </si>
  <si>
    <t>33WG+2W7, Madigiri, Karnataka 584129, India</t>
  </si>
  <si>
    <t>33VH+VMP, Madigiri, Karnataka 584129, India</t>
  </si>
  <si>
    <t>33VG+QCG, Madigiri, Karnataka 584129, India</t>
  </si>
  <si>
    <t>33VG+H26, Madigiri, Karnataka 584129, India</t>
  </si>
  <si>
    <t>33VH+WFW, Madigiri, Karnataka 584129, India</t>
  </si>
  <si>
    <t>33VG+FC8, Madigiri, Karnataka 584129, India</t>
  </si>
  <si>
    <t>33VG+M9W, Agasi road, Madigiri, Karnataka 584129, India</t>
  </si>
  <si>
    <t>1/11-52-69A, MM Colony, Nijalingappa Colony, Raichur, Karnataka 584101, India</t>
  </si>
  <si>
    <t>8R55+QVP, Uncha Majra, Haryana 122503, India</t>
  </si>
  <si>
    <t>North/Haryana/Pataudi</t>
  </si>
  <si>
    <t>8R65+4J9, Uncha Majra, Haryana 122503, India</t>
  </si>
  <si>
    <t>9C73+Q9H, MDR100, Khatoo, Rajasthan 332602, India</t>
  </si>
  <si>
    <t>8R4F+5VG, Uncha Majra, Haryana 122503, India</t>
  </si>
  <si>
    <t>8R54+9VQ, Uncha Majra, Haryana 122503, India</t>
  </si>
  <si>
    <t>8R75+56H, Uncha Majra, Haryana 122503, India</t>
  </si>
  <si>
    <t>Plot No. 240 Phirni no 105, Pataudi, Haryana 122503, India</t>
  </si>
  <si>
    <t>4-B, Jasraj Nagar, Om Nagar, Rajkot, Gujarat 360004, India</t>
  </si>
  <si>
    <t>RHM3+X45, Prashnavada, Gujarat 362275, India</t>
  </si>
  <si>
    <t>Junagadh - Somnath Hwy, Gujarat 362255, India</t>
  </si>
  <si>
    <t>X8CG+WMR, Navapara, Gujarat 362255, India</t>
  </si>
  <si>
    <t>7Q7M+9FC, Jasraj Nagar, Mavdi, Rajkot, Gujarat 360004, India</t>
  </si>
  <si>
    <t>7Q7H+QVF, Mavdi, Rajkot, Gujarat 360004, India</t>
  </si>
  <si>
    <t>7Q7J+6WQ, Mavdi Main Road, Mavdi, Rajkot, Gujarat 360004, India</t>
  </si>
  <si>
    <t>5, Shakti Nagar Rd No 3, Om Nagar, Rajkot, Gujarat 360004, India</t>
  </si>
  <si>
    <t>F-1, F-1, Om Nagar Rd, Mavdi, Rajkot, Gujarat 360004, India</t>
  </si>
  <si>
    <t>Lalita nivas, Street 6 Zone 2, near dominoes pizza centre, Adarsh Nagar, Chhattisgarh 491001, India</t>
  </si>
  <si>
    <t>Zone 3 Street number 8D, near Katyani Mandir, Adarsh Nagar, Chhattisgarh 491001, India</t>
  </si>
  <si>
    <t>Zone 3 Street no.8D, near Katyani Mandir, Adarsh Nagar, Chhattisgarh 491001, India</t>
  </si>
  <si>
    <t>31, Bank Colony, Adarsh Nagar, Chhattisgarh 491001, India</t>
  </si>
  <si>
    <t>Zone - 3, Street - 7B, Padmanabhpur Pulgaon Pass Rd, New Adarsh Nagar, Durg, Chhattisgarh 491001, India</t>
  </si>
  <si>
    <t>57PP+54G, Civil Lines, Durg, Chhattisgarh 491001, India</t>
  </si>
  <si>
    <t>Zone- 3, Street-7, Padmanabhpur Pulgaon Pass Road, behind Petrol pump, Adarsh Nagar, Chhattisgarh 491001, India</t>
  </si>
  <si>
    <t>UTKARSH NEW ADARSHNAGAR, Zone3, Street 9 Durg CG, Adarsh Nagar, Chhattisgarh 491001, India</t>
  </si>
  <si>
    <t>Shop Number 20 krishi upaj mandi Dhamda road, Sikola Basti, Durg, Chhattisgarh 491001, India</t>
  </si>
  <si>
    <t>Shiva Sadan Street 6D Zone 2, Adarsh Nagar, Chhattisgarh 491001, India</t>
  </si>
  <si>
    <t>In Front Of Airtel Office, Ring Road No.1, Shatabdi Nagar, Telibandha, Raipur, Chhattisgarh 492001, India</t>
  </si>
  <si>
    <t>Govt. Hospital Road, M655+MX4, Kodigenahalli, Madhugiri, Karnataka 572132, India</t>
  </si>
  <si>
    <t>15-16, 4th Main Rd, Vikram Nagar, Kumaraswamy Layout, Bengaluru, Karnataka 560078, India</t>
  </si>
  <si>
    <t>WHQJ+34P, S End Rd, Jaya Nagar 1st Block, Basavanagudi, Bengaluru, Karnataka 560004, India</t>
  </si>
  <si>
    <t>3704/31, 9th Cross Rd, Jayanagara West, Settihalli, Tumakuru, Karnataka 572102, India</t>
  </si>
  <si>
    <t>M638+F4X, SH 3, Karnataka 572132, India</t>
  </si>
  <si>
    <t>18, 4th Main Rd, Vikram Nagar, Kumaraswamy Layout, Bengaluru, Karnataka 560078, India</t>
  </si>
  <si>
    <t>No.316, NH -4 Near Kunigal Bypas Raghavendra Nagar Nelamangala, Bengaluru, Karnataka 562123, India</t>
  </si>
  <si>
    <t>Habitat Munoth Orchid Apartment, 13/14, Chikkanna Garden, Shankarapura, Bengaluru, Karnataka 560004, India</t>
  </si>
  <si>
    <t>H2GG+CCG, Kottayam - Kumily Rd, Peermade, Pambanar, Kerala 685532, India</t>
  </si>
  <si>
    <t>H2GG+6GM, Kottayam - Kumily Rd, Peermade, Pambanar, Kerala 685532, India</t>
  </si>
  <si>
    <t>H2GG+G3G, Kottayam - Kumily Rd, Peermade, Pambanar, Kerala 685532, India</t>
  </si>
  <si>
    <t>J4P9+289, Pathumuri - Vellaramkunnu Road, Vellaramkunnu, Kerala 685535, India</t>
  </si>
  <si>
    <t>J4P7+52Q, Pathumuri - Vellaramkunnu Road, Vellaramkunnu, Kerala 685535, India</t>
  </si>
  <si>
    <t>Vyapara Bhavan, Kollam - Theni Hwy, Peermade, Pambanar, Kerala 685532, India</t>
  </si>
  <si>
    <t>Boys Villa, Peermade, Kerala 685532, India</t>
  </si>
  <si>
    <t>J558+HV4, Munnar-Kumily Hwy, Thekkady, Kumily, Tamil Nadu 625525, India</t>
  </si>
  <si>
    <t>J4QC+FVJ, Pathumury, Kerala 685535, India</t>
  </si>
  <si>
    <t>H2FF+CMQ, Peermade, Pambanar, Kerala 685532, India</t>
  </si>
  <si>
    <t>Unnamed Road, Vellaramkunnu, Kerala 685535, India</t>
  </si>
  <si>
    <t>J4PG+V5R, Pathumuri - Vellaramkunnu Road, Pathumury, Kerala 685535, India</t>
  </si>
  <si>
    <t>220, NH183, Chelimada, Kumily, Kerala 685509, India</t>
  </si>
  <si>
    <t>J5X8+65H, Munnar-Kumily Hwy, Chakkuppallam, Kerala 685509, India</t>
  </si>
  <si>
    <t>M5C5+86R, SH19, Anakkara, Kerala 685512, India</t>
  </si>
  <si>
    <t>H2FG+4HG, Peermade, Kerala 685532, India</t>
  </si>
  <si>
    <t>Q5HX+383, Sarbaibondha, Jorhat, Assam 785001, India</t>
  </si>
  <si>
    <t>Q646+9FM, Babupatty, Jorhat, Assam 785001, India</t>
  </si>
  <si>
    <t>Q5HX+Q44, Chokihaat, Jorhat, Assam 785001, India</t>
  </si>
  <si>
    <t>4QPW+6WM, Rukmini Nagar Path, Rukmini Gaon, Guwahati, Assam 781036, India</t>
  </si>
  <si>
    <t>1st Line,Ranga Colony, Sattenapalle, Andhra Pradesh 522403, India</t>
  </si>
  <si>
    <t>South/AP &amp; TS/SATTENAPALLY 2</t>
  </si>
  <si>
    <t>C544+V6W, Andhra Pradesh 522403, India</t>
  </si>
  <si>
    <t>HH35+FG8, Rentachintala, Andhra Pradesh 522421, India</t>
  </si>
  <si>
    <t>HJ4P+VPQ, Gurazala, Andhra Pradesh 522415, India</t>
  </si>
  <si>
    <t>H.NO:14-84, Kandhimallavaari Veedhi Back side of GDCC bank, Gurazala, Gurazala, Andhra Pradesh 522415, India</t>
  </si>
  <si>
    <t>Opp sub jail, Gurazala - Karempudi Rd, beside Udipi Hotel, Gurazala, Andhra Pradesh 522415, India</t>
  </si>
  <si>
    <t>15/224 Besides hero honda showroom, Gurazala - Karempudi Rd, Gurazala, Andhra Pradesh 522415, India</t>
  </si>
  <si>
    <t>22, Gurudev Nagar, Umarsara, Yavatmal, Maharashtra 445001, India</t>
  </si>
  <si>
    <t>94HF+5C7, Shastri Nagar, Umarsara, Wadgaon Road, Maharashtra 445002, India</t>
  </si>
  <si>
    <t>94HF+4HV, Umarsara, Yavatmal, Maharashtra 445002, India</t>
  </si>
  <si>
    <t>94HC+VPC, Shastri Nagar, Umarsara, Yavatmal, Maharashtra 445002, India</t>
  </si>
  <si>
    <t>94HG+C2V, Dahivalkar Layout, Vrindavan Society, Yavatmal, Maharashtra 445002, India</t>
  </si>
  <si>
    <t>BEHIND RUNGTA PETROL PUMP, JAIN CHAMBERS, near NEW BUS STAND, New Radhakisan Plots, Akola, Maharashtra 444001, India</t>
  </si>
  <si>
    <t>SH-3, Yavatmal - Arni Road, Arni Naka, Yavatmal, Maharashtra 445001, India</t>
  </si>
  <si>
    <t>225H+799, Gali Number 9, Shiv Colony, Devru, Haryana 131001, India</t>
  </si>
  <si>
    <t>97MQ+7FX, Shamli, Uttar Pradesh 247775, India</t>
  </si>
  <si>
    <t>North/Haryana/Sonipat</t>
  </si>
  <si>
    <t>Shamli Local Rd, Braham Khera, Uttar Pradesh 247775, India</t>
  </si>
  <si>
    <t>352/33, Rohtak Station Diary Mohalla, Rohtak, Haryana 124001, India</t>
  </si>
  <si>
    <t>00 Royal, Rohtak Station Diary Mohalla, Rohtak, Haryana 124001, India</t>
  </si>
  <si>
    <t>224H+X4X, Shiv Colony, Sonipat, Haryana 131001, India</t>
  </si>
  <si>
    <t>225J+73G, Devru Rd, Jeevan Vihar, Sonipat, Haryana 131001, India</t>
  </si>
  <si>
    <t>9C5M+RMP, Lohchab Rd, Lohchab Village, Haryana 126110, India</t>
  </si>
  <si>
    <t>68XX+J5F, Chandpur - Nehtaur Rd, Mimla, Uttar Pradesh 246729, India</t>
  </si>
  <si>
    <t>68XX+F8W, Chandpur - Nehtaur Rd, Mimla, Uttar Pradesh 246729, India</t>
  </si>
  <si>
    <t>First left of street no 9, Shiv Colony, Sonipat, Haryana 131001, India</t>
  </si>
  <si>
    <t>Gori Nagar Gori Nagar, Gauri Nagar, Chikhali, Raj Nandgaon, Chhattisgarh 491441, India</t>
  </si>
  <si>
    <t>423X+34X, Chikhali, Rajnandgaon, Chhattisgarh 491441, India</t>
  </si>
  <si>
    <t>West/Maharashtra-02/Rajanadgaon2</t>
  </si>
  <si>
    <t>422X+QMC, Kailash Nagar, Rajnandgaon, Chhattisgarh 491441, India</t>
  </si>
  <si>
    <t>422W+4PX, Kailash Nagar, Rajnandgaon, Chhattisgarh 491441, India</t>
  </si>
  <si>
    <t>Gauri nagar, 423W+CH4, Chikhali, Rajnandgaon, Chhattisgarh 491441, India</t>
  </si>
  <si>
    <t>422X+9FF, GJ SH 6, Kailash Nagar, Rajnandgaon, Chhattisgarh 491441, India</t>
  </si>
  <si>
    <t>0, GE Rd, Bhilai, Chhattisgarh 490023, India</t>
  </si>
  <si>
    <t>XQFP+3PV, Indira Nagar Rd, Parab Nagar, Nashik, Maharashtra 422009, India</t>
  </si>
  <si>
    <t>Shop No.6, A-Wing, Swastishri, Prakash Petrol Pump, behind Satyam Sweet, Mumbai Naka, Govind Nagar, Nashik, Maharashtra 422009,</t>
  </si>
  <si>
    <t>Road no 4, Hatte Nagar, Latur, Maharashtra 413512, India</t>
  </si>
  <si>
    <t>Tilak Wadi Rd, Tilak Wadi, Jejurkar Wadi, Sharanpur, Nashik, Maharashtra 422002, India</t>
  </si>
  <si>
    <t>Atripujan Society, Indira Nagar, Nashik, Maharashtra 422009, India</t>
  </si>
  <si>
    <t>Rohru - Sungri - Rampur Rd, Himachal Pradesh 171207, India</t>
  </si>
  <si>
    <t>7P43+PM7, Machoti - Bhooth Rd, Himachal Pradesh 171207, India</t>
  </si>
  <si>
    <t>6P52+M2R, Arhal, Himachal Pradesh 171207, India</t>
  </si>
  <si>
    <t>No 41 B ,tulasi enclave, Dhanalakshmi Layout, Virupakshapura, Bengaluru, Karnataka 560097, India</t>
  </si>
  <si>
    <t>Periashanthi Bus Stop, Bengaluru - Mangaluru Hwy, Kowkradi, Karnataka 574229, India</t>
  </si>
  <si>
    <t>Bangalore - Mangalore Hwy, Gundya, Karnataka 574230, India</t>
  </si>
  <si>
    <t>31, Dhanalakshmi Layout, Virupakshapura, Bengaluru, Karnataka 560097, India</t>
  </si>
  <si>
    <t>3H3H+XQ3, AMCO Colony, Kodigehalli, Bengaluru, Karnataka 560092, India</t>
  </si>
  <si>
    <t>FHVF+6X8, Beharwala Kalan, Rajasthan 335525, India</t>
  </si>
  <si>
    <t>FHVF+X8V, Beharwala Kalan, Rajasthan 335525, India</t>
  </si>
  <si>
    <t>North/Haryana/SIRSA1</t>
  </si>
  <si>
    <t>Unnamed Road, Beharwala Kalan, Rajasthan 335525, India</t>
  </si>
  <si>
    <t>FHVF+V34, Beharwala Kalan, Rajasthan 335525, India</t>
  </si>
  <si>
    <t>FHVF+79Q, Beharwala Kalan, Rajasthan 335525, India</t>
  </si>
  <si>
    <t>FHWF+CHC, Beharwala Kalan, Rajasthan 335525, India</t>
  </si>
  <si>
    <t>94RW+2QX, Vaddavalli, Kothapeta, Sattenapalle, Andhra Pradesh 522403, India</t>
  </si>
  <si>
    <t>95R4+F2G, 1st line, Rajula Colony, Town, Andhra Pradesh 521228, India</t>
  </si>
  <si>
    <t>95R4+3GF, Sattenapalle, Andhra Pradesh 522403, India</t>
  </si>
  <si>
    <t>Sattenapalli-Station, Sattenapalle, Andhra Pradesh 522403, India</t>
  </si>
  <si>
    <t>94QW+JJ6, Kothapeta, Sattenapalle, Andhra Pradesh 522403, India</t>
  </si>
  <si>
    <t>743J+WGC, Sarathi Nagar, Khammam, Telangana 507003, India</t>
  </si>
  <si>
    <t>1-9-35/48/52/12/10/1 church, opp. line Venkateswara nagar, Sarathi Nagar, Khammam, Telangana 507003, India</t>
  </si>
  <si>
    <t>744J+HHH, Sarathi Nagar, Khammam, Telangana 507003, India</t>
  </si>
  <si>
    <t>1-9-35/48/53/3/a/1, Padmavathi Nagar, Khammam, Telangana 507001, India</t>
  </si>
  <si>
    <t>743J+RX7, Sarathi Nagar, Khammam, Telangana 507003, India</t>
  </si>
  <si>
    <t>RPR3+Q9Q, Dist, Bhavasar Nagar, Shakti Nagar, Vijayapura, Karnataka 586101, India</t>
  </si>
  <si>
    <t>South/Karnataka/VIJAYAPURA</t>
  </si>
  <si>
    <t>WFQQ+C7, Kadoli, Karnataka 591113, India</t>
  </si>
  <si>
    <t>WFQR+6Q9, Matanggi Temple Rd, Kadoli, Karnataka 591156, India</t>
  </si>
  <si>
    <t>5FWR+PHV, Karnataka 587204, India</t>
  </si>
  <si>
    <t>RPR3+R8R, C Block, Shakti Nagar, Vijayapura, Karnataka 586103, India</t>
  </si>
  <si>
    <t>RPJ3+PF2, Shastri Nagar, Vijayapura, Karnataka 586101, India</t>
  </si>
  <si>
    <t>RPR3+J48, Gouda Kirana Store Rd, Shakti Nagar, Vijayapura, Karnataka 586103, India</t>
  </si>
  <si>
    <t>87W3+4R8, Khadakpura, Chikhli, Maharashtra 412803, India</t>
  </si>
  <si>
    <t>9726+JVG, near aditya trader, Shivaji Nagar, Chikhli, Maharashtra 443201, India</t>
  </si>
  <si>
    <t>West/Maharashtra-02/Chikhali 2</t>
  </si>
  <si>
    <t>87X6+QWJ, Main Rd, Gandhi Nagar, Chikhli, Maharashtra 443201, India</t>
  </si>
  <si>
    <t>9747+29W, Ward Number 5, saraswati nagar, Chikhli, Maharashtra 443201, India</t>
  </si>
  <si>
    <t>Pimpri Gawali Bus Stop, Pimpri Gawali, Maharashtra 443102, India</t>
  </si>
  <si>
    <t>P4XV+J8C, Main Rd, Pimpri Gawali, Maharashtra 443102, India</t>
  </si>
  <si>
    <t>9728+Q53, Kazi Nagar, Chikhli, Maharashtra 443201, India</t>
  </si>
  <si>
    <t>Rekhatai Khedekar Nivaas, Khamgaon Rd, Shivaji Nagar, Chikhli, Maharashtra 443201, India</t>
  </si>
  <si>
    <t>9748+636, Ward Number 5, Jijau Nagar, Kazi Nagar, Chikhli, Maharashtra 443201, India</t>
  </si>
  <si>
    <t>à¤°à¤¾à¤‰à¤¤à¤µà¤¾à¥œà¥€ à¤¬à¥à¤²à¤¡à¤¾à¤£à¤¾ à¤°à¥‰à¤¡, 9737+79M, Shivaji Nagar, Chikhli, Maharashtra 443201, India</t>
  </si>
  <si>
    <t>9728+W3X, Kazi Nagar, Chikhli, Maharashtra 443201, India</t>
  </si>
  <si>
    <t>9737+29G, NH753A, Shivaji Nagar, Chikhli, Maharashtra 443201, India</t>
  </si>
  <si>
    <t>9738+V5V, Ward Number 5, Kazi Nagar, Chikhli, Maharashtra 443201, India</t>
  </si>
  <si>
    <t>9726+WH5, Shivaji Nagar, Chikhli, Maharashtra 443201, India</t>
  </si>
  <si>
    <t>9737+66W, NH753A, Shivaji Nagar, Chikhli, Maharashtra 443201, India</t>
  </si>
  <si>
    <t>49C5+2C4, Premghat, Theog, Himachal Pradesh 171201, India</t>
  </si>
  <si>
    <t>4F57+Q2V, Theog - Hatkoti - Rohru Rd, Huli, Himachal Pradesh 171220, India</t>
  </si>
  <si>
    <t>4995+XPM, Premghat, Theog, Himachal Pradesh 171201, India</t>
  </si>
  <si>
    <t>NH5, Charabra, Himachal Pradesh 171012, India</t>
  </si>
  <si>
    <t>P5H5+HM5, Amayar, Idukki, Kerala 685551, India</t>
  </si>
  <si>
    <t>P5H4+MX6, Vandanmettu - Kattappana Rd, Vandanmedu, Kerala 685551, India</t>
  </si>
  <si>
    <t>P5J6+58, Vandanmedu, Kerala 685551, India</t>
  </si>
  <si>
    <t>P5J6+R8X, Vandanmedu, Kerala 685551, India</t>
  </si>
  <si>
    <t>P5C4+GJG, upper, Vandanmedu, Kerala 685551, India</t>
  </si>
  <si>
    <t>HHFJ+JCV, Thalappady, Kerala 686019, India</t>
  </si>
  <si>
    <t>GVQP+78H, Kollam - Theni Hwy, Mundakayam, Kerala 686513, India</t>
  </si>
  <si>
    <t>P5J5+2G4, Amayar, Vandanmedu, Kerala 685551, India</t>
  </si>
  <si>
    <t>FVW8+4RQ, Shivaji Nagar, Ner, Maharashtra 445102, India</t>
  </si>
  <si>
    <t>FVW8+4RX, Shivaji Nagar, Ner, Maharashtra 445102, India</t>
  </si>
  <si>
    <t>FVW8+5R9, Shivaji Nagar, Ner, Maharashtra 445102, India</t>
  </si>
  <si>
    <t>FVV8+F7P, Shivaji Nagar, Ner, Maharashtra 445102, India</t>
  </si>
  <si>
    <t>FVW8+6WH, Shivaji Nagar, Ner, Maharashtra 445102, India</t>
  </si>
  <si>
    <t>FVW7+4FG, Ner, Maharashtra 445102, India</t>
  </si>
  <si>
    <t>FVV8+PF2, Shivaji Nagar, Ner, Maharashtra 445102, India</t>
  </si>
  <si>
    <t>Police Station backside, Shivaji Nagar, Ner, Maharashtra 445102, India</t>
  </si>
  <si>
    <t>QRW9+QM7, Gugga Mandir, Ramana Ramani, Haryana 132116, India</t>
  </si>
  <si>
    <t>Unnamed Road, Haryana 132116, India</t>
  </si>
  <si>
    <t>QRXG+97X, Ramana Ramani, Haryana 132116, India</t>
  </si>
  <si>
    <t>QRXC+WFG, Ramana Ramani, Haryana 132116, India</t>
  </si>
  <si>
    <t>QRXC+W29, Ramana Ramani, Haryana 132116, India</t>
  </si>
  <si>
    <t>SH 9, Haryana 132116, India</t>
  </si>
  <si>
    <t>2R9G+3V6, Venigalla Vari Veedhi, 10th Ward, Repalle, Andhra Pradesh 522265, India</t>
  </si>
  <si>
    <t>Yalavarthi street, beside road to first computers, Repalle, Andhra Pradesh 522265, India</t>
  </si>
  <si>
    <t>Near, Nizampattanam Rd, opposite Cpm Office, 10th Ward, Repalle, Andhra Pradesh 522265, India</t>
  </si>
  <si>
    <t>Back Side Raja Lakshmi Theatre, 10th Ward, Repalle, Andhra Pradesh 522265, India</t>
  </si>
  <si>
    <t>2R8H+R34, 10th Ward, Repalle, Andhra Pradesh 522265, India</t>
  </si>
  <si>
    <t>Repalle Nizampatnam Main Road, Nizampattanam Rd, near Market Yard, Repalle, Andhra Pradesh 522265, India</t>
  </si>
  <si>
    <t>2R8C+RX7, Repalle Nizampatnam Rd, 14th Ward, Repalle, Andhra Pradesh 522265, India</t>
  </si>
  <si>
    <t>10-13-75, Park Street, Repalle, Andhra Pradesh 522265, India</t>
  </si>
  <si>
    <t>2R7M+WJW, NVK Prasad Road, Repalle, Andhra Pradesh 522265, India</t>
  </si>
  <si>
    <t>G292+5VW, Bilaspur Dhani, Ramnagaria, Kelnian, Haryana 125055, India</t>
  </si>
  <si>
    <t>Purana bypass rania roadk, JJ Colony, Sirsa, Haryana 125055, India</t>
  </si>
  <si>
    <t>752, Mani Majra, Mohalla Dera Sahib, Mani Majra, Chandigarh andnear Water Works, Bilaspur Dhani, Ramnagaria, Sirsa, Haryana 1250</t>
  </si>
  <si>
    <t>GX8X+95Q, Ramnagaria, Sirsa, Haryana 125055, India</t>
  </si>
  <si>
    <t>Ramnagaria Rd, Sirsa, Haryana 125055, India</t>
  </si>
  <si>
    <t>lalith, 3-3-550/6, Gayathri Nagar, Sai Priya Nagar, Nizamabad, Telangana 503001, India</t>
  </si>
  <si>
    <t>South/AP &amp; TS/NIZAMABAD</t>
  </si>
  <si>
    <t>Unnamed Road, FCI Colony, Nizamabad, Telangana 503230, India</t>
  </si>
  <si>
    <t>3-3-150/b, Sai Priya Nagar, Nizamabad, Telangana 503001, India</t>
  </si>
  <si>
    <t>5-44, opp. Vishwa Vikas School, Sai Priya Nagar, Nizamabad, Telangana 503001, India</t>
  </si>
  <si>
    <t>8-8-7&amp;8-8, 8, Station Rd, Girmajipet, Warangal, Telangana 506002, India</t>
  </si>
  <si>
    <t>XJG2+93W, Station Rd, Sri Krishna Colony, Old Beet Bazaar, Warangal, Telangana 506002, India</t>
  </si>
  <si>
    <t>Hno 9-8-79, opp: nirmala mall, Jayaprakash Narayan Road, Sherpura, Warangal, Telangana 506002, India</t>
  </si>
  <si>
    <t>RJQ4+RPQ, Vishrambag, Sangli, Maharashtra 416410, India</t>
  </si>
  <si>
    <t>RJQ5+Q9X, Wanalesawadi, Vishrambag, Sangli Miraj Kupwad, Maharashtra 416410, India</t>
  </si>
  <si>
    <t>RJQ5+R48, Vishrambag, Sangli, Maharashtra 416415, India</t>
  </si>
  <si>
    <t>RJQ5+R6G, Vishrambag, Sangli, Maharashtra 416410, India</t>
  </si>
  <si>
    <t>Inspector Karale Bunglow, Vishrambag, Sangli, Maharashtra 416410, India</t>
  </si>
  <si>
    <t>FQ6F+624, Chani, Maharashtra 444501, India</t>
  </si>
  <si>
    <t>FQ69+63J, Chani, Maharashtra 444501, India</t>
  </si>
  <si>
    <t>Unnamed Road, Chani, Maharashtra 444501, India</t>
  </si>
  <si>
    <t>FQ6C+QQG, Chani, Maharashtra 444501, India</t>
  </si>
  <si>
    <t>FQ5C+MHX, Chani, Maharashtra 444501, India</t>
  </si>
  <si>
    <t>Unnamed Road, Maharashtra 444501, India</t>
  </si>
  <si>
    <t>FQ6C+69Q, Chani, Maharashtra 444501, India</t>
  </si>
  <si>
    <t>gram panchayat complex, Channi, Maharashtra 444501, India</t>
  </si>
  <si>
    <t>FQ6C+CG7, Chani, Maharashtra 444501, India</t>
  </si>
  <si>
    <t>FQ6C+5R4, Chani, Maharashtra 444501, India</t>
  </si>
  <si>
    <t>FQ6C+R84, Lahariya chowk, Chani, Maharashtra 444501, India</t>
  </si>
  <si>
    <t>R97W+GX3, Employees Colony, Kaithal, Haryana 136027, India</t>
  </si>
  <si>
    <t>RC82+6FX, Chiranjeev Colony, Kaithal, Haryana 136027, India</t>
  </si>
  <si>
    <t>North/Haryana/Kaithal2</t>
  </si>
  <si>
    <t>49, Subhash Nagar, Employees Colony, Kaithal, Haryana 136027, India</t>
  </si>
  <si>
    <t>Cheeka Rd, Chika Rd, Employees Colony, Kaithal, Haryana 136027, India</t>
  </si>
  <si>
    <t>R97W+4GQ, Employees Colony, Kaithal, Haryana 136027, India</t>
  </si>
  <si>
    <t>RC82+44X, Chika Rd, Chiranjeev Colony, Polar, Haryana 136033, India</t>
  </si>
  <si>
    <t>R98X+22V, Chika Rd, Employees Colony, Kaithal, Haryana 136027, India</t>
  </si>
  <si>
    <t>R95W+RHJ, Khurana Rd, RK Puram, Kaithal, Haryana 136027, India</t>
  </si>
  <si>
    <t>XXG2+V6P, Mathana, Haryana 136132, India</t>
  </si>
  <si>
    <t>XXH3+3H5, Mathana, Haryana 136132, India</t>
  </si>
  <si>
    <t>XXH3+HMR, Mathana, Haryana 136131, India</t>
  </si>
  <si>
    <t>02, Sirsama, Kurukshetra, Haryana 136131, India</t>
  </si>
  <si>
    <t>12, Mathana, Haryana 136131, India</t>
  </si>
  <si>
    <t>Booth no, 56, Radaur Rd, Ladwa, Haryana 136132, India</t>
  </si>
  <si>
    <t>Sanjeev verma.VPO mathana.Dish, XXH3+4PR, Mathana, Haryana 136131, India</t>
  </si>
  <si>
    <t>Khanapur Road, Kismat Complex, Advi Peth, Vita, Maharashtra 415311, India</t>
  </si>
  <si>
    <t>7GCQ+XRF, Advi Peth, Vita, Maharashtra 415311, India</t>
  </si>
  <si>
    <t>Khanapur-Vita Road, Opp. to S.T.Bus Stand, Basement of Siddhi Hotel, Advi Peth, Vita, Maharashtra 415311, India</t>
  </si>
  <si>
    <t>7GFQ+7WQ, Sawarkar Nagar, Vita, Maharashtra 415311, India</t>
  </si>
  <si>
    <t>Shop No 1 Karad Road, near Anand Dresse, opp. Rajalaxmi Medical, Advi Peth, Vita, Maharashtra 415311, India</t>
  </si>
  <si>
    <t>Plot 3697 khanapur road, SH78, opp. bus stand, Advi Peth, Vita, Maharashtra 415311, India</t>
  </si>
  <si>
    <t>Radhakrishna Complex, Khanapur Rd, near S.T. Stand, Advi Peth, Vita, Maharashtra 415311, India</t>
  </si>
  <si>
    <t>PC5R+3Q2, Kolewadi Rd, Dahiwadi, Maharashtra 415023, India</t>
  </si>
  <si>
    <t>Lohchab Rd, Lohchab Village, Haryana 126111, India</t>
  </si>
  <si>
    <t>Safidon Rd, Lohchab, Haryana 126111, India</t>
  </si>
  <si>
    <t>North/Haryana/JIND</t>
  </si>
  <si>
    <t>9C3P+GWH, Safidon Rd, Lohchab, Haryana 126111, India</t>
  </si>
  <si>
    <t>Unnamed Road, Haryana 126102, India</t>
  </si>
  <si>
    <t>9C6J+HJ7, Lohchab Village, Haryana 126110, India</t>
  </si>
  <si>
    <t>9C6M+373, Lohchab Rd, Lohchab Village, Haryana 126110, India</t>
  </si>
  <si>
    <t>Lohchab to Kheri Taloda Rd, Taloda, Haryana 126111, India</t>
  </si>
  <si>
    <t>9C6J+M2H, Khunga-Lohchab Rd, Lohchab Village, Haryana 126111, India</t>
  </si>
  <si>
    <t>HPJP+XJW, Thachapuzha, Kerala 686522, India</t>
  </si>
  <si>
    <t>QGHV+5JV, Kuravilangad - Kattampak Rd, Kuravilangad, Kerala 686612, India</t>
  </si>
  <si>
    <t>HPJR+G3C, Kerala 686522, India</t>
  </si>
  <si>
    <t>HPPQ+9VP, Thachapuzha, Kerala 686522, India</t>
  </si>
  <si>
    <t>HPHQ+WX7, Kottayam, Kerala 686522, India</t>
  </si>
  <si>
    <t>VH6W+8VM, Koothattukulam, Kerala 686662, India</t>
  </si>
  <si>
    <t>Q5XJ+GQ3, JB Rd, Baligaon, Assam 785108, India</t>
  </si>
  <si>
    <t>Q665+575, Old Circuit House Rd, Malow Ali, Jorhat, Assam 785001, India</t>
  </si>
  <si>
    <t>East/Assam/Jorhat 2</t>
  </si>
  <si>
    <t>Dishoikash Rd, Baligaon, Assam 785108, India</t>
  </si>
  <si>
    <t>JB Rd, Baligaon, Assam 785108, India</t>
  </si>
  <si>
    <t>Q5WP+74F, Duboroni Pathar, Assam 785108, India</t>
  </si>
  <si>
    <t>Q674+6X9, Old Circuit House Rd, Malow Ali, Jorhat, Assam 785001, India</t>
  </si>
  <si>
    <t>Q5XJ+GH7, Duboroni Pathar, Assam 785108, India</t>
  </si>
  <si>
    <t>4985+C8X, Theog, Himachal Pradesh 171201, India</t>
  </si>
  <si>
    <t>NH 5, Himachal Pradesh 171209, India</t>
  </si>
  <si>
    <t>389F+RQ7, Mountain Gate Himalayan, Cheog, Himachal Pradesh 171209, India</t>
  </si>
  <si>
    <t>4986+6GP, SH 10, Theog, Himachal Pradesh 171201, India</t>
  </si>
  <si>
    <t>VERMA NIWAS BELOW GOVERNMENT COLLEGE GIRLS HOSTEL BUILDING, Theog, Himachal Pradesh 171201, India</t>
  </si>
  <si>
    <t>4987+J6W, Court Road, Janog Ghat, Theog, Himachal Pradesh 171201, India</t>
  </si>
  <si>
    <t>4879+3VV, Shimla, Himachal Pradesh 171209, India</t>
  </si>
  <si>
    <t>4986+FQM, Court Road, Janog Ghat, Theog, Himachal Pradesh 171201, India</t>
  </si>
  <si>
    <t>4987+P86, Shimla, Himachal Pradesh 171201, India</t>
  </si>
  <si>
    <t>46H4+RQ3, Raichur Rd, Karnataka 584118, India</t>
  </si>
  <si>
    <t>46P6+H6P, Kallur, Karnataka 584118, India</t>
  </si>
  <si>
    <t>South/Karnataka/Manvi</t>
  </si>
  <si>
    <t>46R8+3M2, Raichur Rd, Kallur, Karnataka 584118, India</t>
  </si>
  <si>
    <t>46Q8+M2W, Raichur Rd, Kallur, Karnataka 584118, India</t>
  </si>
  <si>
    <t>46P7+H3H, Raichur - Koppal Rd, Kallur, Karnataka 584118, India</t>
  </si>
  <si>
    <t>46M5+7X2, Raichur Rd, Kallur, Karnataka 584118, India</t>
  </si>
  <si>
    <t>46P6+4FF, Kallur, Karnataka 584118, India</t>
  </si>
  <si>
    <t>46P7+3HG, Kallur, Karnataka 584118, India</t>
  </si>
  <si>
    <t>46M6+G86, Kallur, Karnataka 584118, India</t>
  </si>
  <si>
    <t>SH 23, Balaji Camp, Karnataka 584103, India</t>
  </si>
  <si>
    <t>46R8+2JP, Kallur, Karnataka 584118, India</t>
  </si>
  <si>
    <t>CV56+P92, Samsan Ghat Rd, Devipura-1, Bulandshahr, Uttar Pradesh 203001, India</t>
  </si>
  <si>
    <t>North/Haryana/BULANDSHAHR</t>
  </si>
  <si>
    <t>1173, DHARAM NIWAS, CIVIL LINES BULANDSHAHR-203001 PRAFULL CHANDRA AGARWAL, Moti Bagh, Kotiyat, Bulandshahr, Uttar Pradesh 20300</t>
  </si>
  <si>
    <t>CV6C+3F8, Aulina, Milka Mosamgarh, Bulandshahr, Uttar Pradesh 203001, India</t>
  </si>
  <si>
    <t>CR6X+9R2, DM Colony, Devpuri-II, Bulandshahr, Uttar Pradesh 203001, India</t>
  </si>
  <si>
    <t>Mandi Fateh Ganj, Devipura-1, Bulandshahr, Uttar Pradesh 203001, India</t>
  </si>
  <si>
    <t>Sihag Villa Rd, Sahuwala-I, Haryana 125055, India</t>
  </si>
  <si>
    <t>Kharian-Sirsa Rd, Mohranwali, Haryana 125055, India</t>
  </si>
  <si>
    <t>North/Haryana/SIRSA3</t>
  </si>
  <si>
    <t>Gaba Building, Opp. Market Committe Janta Bhawan Road, Nayi Anaj Mandi, Multani Colony, B Block, Sirsa, Haryana 125055, India</t>
  </si>
  <si>
    <t>JWFW+F67, Shekhupuria, Haryana 125076, India</t>
  </si>
  <si>
    <t>JWC6+HX2, Kharian-Sirsa Rd, Mohranwali, Haryana 125055, India</t>
  </si>
  <si>
    <t>Unnamed Road, Bukhara Khera, Haryana 125076, India</t>
  </si>
  <si>
    <t>H27F+4J5, Dabwali Rd, Air Force Station, Sirsa, Haryana 125055, India</t>
  </si>
  <si>
    <t>JWW5+FM3, Jodhpuria, Haryana 125077, India</t>
  </si>
  <si>
    <t>Kharian-Sirsa Rd, Karamgarh, Haryana 125055, India</t>
  </si>
  <si>
    <t>JWC4+HJ6, Jodhpuria, Haryana 125076, India</t>
  </si>
  <si>
    <t>47, E Block, Kapas Mandi, Sirsa, Haryana 125055, India</t>
  </si>
  <si>
    <t>JW94+PG4, Jodhpuria, Haryana 125076, India</t>
  </si>
  <si>
    <t>6G8F+9V, Ratnari, Himachal Pradesh 171225, India</t>
  </si>
  <si>
    <t>North/Haryana/Narkanda</t>
  </si>
  <si>
    <t>6G39+552, Kalbog, Himachal Pradesh 171225, India</t>
  </si>
  <si>
    <t>Gumma-Baghi Rd, Ratnari, Himachal Pradesh 171225, India</t>
  </si>
  <si>
    <t>6G8H+7Q8, Himachal Pradesh 171225, India</t>
  </si>
  <si>
    <t>Unnamed Road, Himachal Pradesh 171225, India</t>
  </si>
  <si>
    <t>Unnamed Road, Karnataka 585418, India</t>
  </si>
  <si>
    <t>Bidar - Humnabad Rd, Benchincholi, Karnataka 585418, India</t>
  </si>
  <si>
    <t>South/Karnataka/Humnabad</t>
  </si>
  <si>
    <t>V54X+J24, Dubalgundi, Karnataka 585418, India</t>
  </si>
  <si>
    <t>V55W+9M8, Dubalgundi, Karnataka 585418, India</t>
  </si>
  <si>
    <t>V54V+G34, Dubalgundi, Karnataka 585418, India</t>
  </si>
  <si>
    <t>R6R4+RH7, Kabeerabad, Karnataka 585418, India</t>
  </si>
  <si>
    <t>9727+J2H, Shivaji Nagar, Chikhli, Maharashtra 443201, India</t>
  </si>
  <si>
    <t>86XX+FJH, Nagsem Buddha Nagar, Chikhli, Maharashtra 443201, India</t>
  </si>
  <si>
    <t>9726+GVV, Shivaji Nagar, Chikhli, Maharashtra 443201, India</t>
  </si>
  <si>
    <t>1052, Sector 21, Budanpur, Panchkula, Punjab 134116, India</t>
  </si>
  <si>
    <t>1094, Sector 21, Budanpur, Panchkula, Punjab 134112, India</t>
  </si>
  <si>
    <t>1053, Sector 21, Budanpur, Panchkula, Punjab 134112, India</t>
  </si>
  <si>
    <t>1011, Sector 21, Budanpur, Panchkula, Punjab 134112, India</t>
  </si>
  <si>
    <t>1028, Sector 21, Budanpur, Panchkula, Punjab 134112, India</t>
  </si>
  <si>
    <t>G3HV+XQW, Sirsa - Fatehabad Rd, Haryana 125055, India</t>
  </si>
  <si>
    <t>JRRC+9WG, Zirakpur, Punjab 140603, India</t>
  </si>
  <si>
    <t>1093, Sector 21, Budanpur, Panchkula, Punjab 134112, India</t>
  </si>
  <si>
    <t>1256, Sector 21, Budanpur, Panchkula, Punjab 134112, India</t>
  </si>
  <si>
    <t>WQWH+665, Paranjpe Colony, Amravati, Maharashtra 444603, India</t>
  </si>
  <si>
    <t>Unnamed Road, Nashirpur, Maharashtra 444905, India</t>
  </si>
  <si>
    <t>West/Maharashtra-02/Amravati</t>
  </si>
  <si>
    <t>Ashti Rd, Ahmadpur, Maharashtra 442202, India</t>
  </si>
  <si>
    <t>Unnamed Road, Pardi, Maharashtra 444905, India</t>
  </si>
  <si>
    <t>Kanta Nagar Rd, Kanta Nagar, Amravati, Maharashtra 444603, India</t>
  </si>
  <si>
    <t>WQWH+566, Paranjpe Colony, Amravati, Maharashtra 444603, India</t>
  </si>
  <si>
    <t>WQVF+RG6, Kanta Nagar, Amravati, Maharashtra 444603, India</t>
  </si>
  <si>
    <t>=22MAH322</t>
  </si>
  <si>
    <t>D:\TravelLog\INPUT\EmployeeExpense</t>
  </si>
  <si>
    <t>D:\TravelLog\INPUT\Expense</t>
  </si>
  <si>
    <t>D:\TravelLog\OUTPUT\OUTPUTVL</t>
  </si>
  <si>
    <t>D:\TravelLog\OUTPUT\OUTPUTTL</t>
  </si>
  <si>
    <t>D:\TravelLog\INPUT\Designation\DesignationDAAmount.xlsx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</si>
</sst>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* #,##0.00_);_(* \(#,##0.00\);_(* &quot;-&quot;??_);_(@_)"/>
    <numFmt numFmtId="165" formatCode="ddd\ dd/mmm/yyyy"/>
    <numFmt numFmtId="166" formatCode="_ * #,##0_ ;_ * \-#,##0_ ;_ * &quot;-&quot;??_ ;_ @_ "/>
    <numFmt numFmtId="167" formatCode="General;General;\-"/>
    <numFmt numFmtId="168" formatCode="0.00;0.00;\-"/>
    <numFmt numFmtId="169" formatCode="[$-10409]hh:mm\ AM/PM;@"/>
  </numFmts>
  <fonts count="14">
    <font>
      <sz val="10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sz val="10"/>
      <color theme="1"/>
      <name val="CorpoS"/>
      <family val="2"/>
    </font>
    <font>
      <u/>
      <sz val="10"/>
      <color theme="10"/>
      <name val="CorpoS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FFC000"/>
        <bgColor indexed="64"/>
      </patternFill>
    </fill>
  </fills>
  <borders count="78">
    <border>
      <left/>
      <right/>
      <top/>
      <bottom/>
      <diagonal/>
    </border>
    <border>
      <left style="thin">
        <color indexed="31"/>
      </left>
      <right style="thin">
        <color indexed="31"/>
      </right>
      <top style="thin">
        <color indexed="31"/>
      </top>
      <bottom style="thin">
        <color indexed="31"/>
      </bottom>
      <diagonal/>
    </border>
    <border>
      <left style="thin">
        <color rgb="FFC6C6C6"/>
      </left>
      <right/>
      <top style="thin">
        <color rgb="FFC6C6C6"/>
      </top>
      <bottom/>
      <diagonal/>
    </border>
    <border>
      <left style="thin">
        <color rgb="FFC6C6C6"/>
      </left>
      <right/>
      <top style="thin">
        <color rgb="FFC6C6C6"/>
      </top>
      <bottom style="thin">
        <color rgb="FFC6C6C6"/>
      </bottom>
      <diagonal/>
    </border>
    <border>
      <left/>
      <right/>
      <top style="thin">
        <color rgb="FFC6C6C6"/>
      </top>
      <bottom/>
      <diagonal/>
    </border>
    <border>
      <left/>
      <right style="thin">
        <color rgb="FFC6C6C6"/>
      </right>
      <top style="thin">
        <color rgb="FFC6C6C6"/>
      </top>
      <bottom/>
      <diagonal/>
    </border>
    <border>
      <left/>
      <right/>
      <top style="thin">
        <color rgb="FFC6C6C6"/>
      </top>
      <bottom style="thin">
        <color rgb="FFC6C6C6"/>
      </bottom>
      <diagonal/>
    </border>
    <border>
      <left/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1498764000366222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87640003662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8764000366222"/>
      </left>
      <right/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1498458815271462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87640003662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84588152714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8458815271462"/>
      </left>
      <right style="thin">
        <color theme="0" tint="-0.14981536301767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1498458815271462"/>
      </left>
      <right style="thin">
        <color theme="0" tint="-0.14981536301767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8764000366222"/>
      </left>
      <right/>
      <top style="thin">
        <color theme="0" tint="-0.14996795556505021"/>
      </top>
      <bottom/>
      <diagonal/>
    </border>
    <border>
      <left/>
      <right style="thin">
        <color theme="0" tint="-0.1498458815271462"/>
      </right>
      <top style="thin">
        <color theme="0" tint="-0.14996795556505021"/>
      </top>
      <bottom/>
      <diagonal/>
    </border>
    <border>
      <left style="thin">
        <color theme="0" tint="-0.1498458815271462"/>
      </left>
      <right style="thin">
        <color theme="0" tint="-0.14981536301767021"/>
      </right>
      <top style="thin">
        <color theme="0" tint="-0.14996795556505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/>
      <right style="thin">
        <color theme="0" tint="-0.14990691854609822"/>
      </right>
      <top style="thin">
        <color theme="0" tint="-0.14996795556505021"/>
      </top>
      <bottom/>
      <diagonal/>
    </border>
    <border>
      <left style="thin">
        <color theme="0" tint="-0.14990691854609822"/>
      </left>
      <right/>
      <top style="thin">
        <color theme="0" tint="-0.14996795556505021"/>
      </top>
      <bottom/>
      <diagonal/>
    </border>
    <border>
      <left/>
      <right style="thin">
        <color theme="0" tint="-0.1498764000366222"/>
      </right>
      <top style="thin">
        <color theme="0" tint="-0.14996795556505021"/>
      </top>
      <bottom/>
      <diagonal/>
    </border>
    <border>
      <left style="thin">
        <color theme="0" tint="-0.1498764000366222"/>
      </left>
      <right/>
      <top style="thin">
        <color theme="0" tint="-0.1498764000366222"/>
      </top>
      <bottom/>
      <diagonal/>
    </border>
    <border>
      <left/>
      <right/>
      <top style="thin">
        <color theme="0" tint="-0.1498764000366222"/>
      </top>
      <bottom/>
      <diagonal/>
    </border>
    <border>
      <left/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/>
      <top/>
      <bottom style="thin">
        <color theme="0" tint="-0.1498764000366222"/>
      </bottom>
      <diagonal/>
    </border>
    <border>
      <left/>
      <right/>
      <top/>
      <bottom style="thin">
        <color theme="0" tint="-0.1498764000366222"/>
      </bottom>
      <diagonal/>
    </border>
    <border>
      <left/>
      <right style="thin">
        <color theme="0" tint="-0.1498764000366222"/>
      </right>
      <top/>
      <bottom style="thin">
        <color theme="0" tint="-0.1498764000366222"/>
      </bottom>
      <diagonal/>
    </border>
    <border>
      <left style="thin">
        <color theme="0" tint="-0.14981536301767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81536301767021"/>
      </left>
      <right/>
      <top style="thin">
        <color theme="0" tint="-0.14996795556505021"/>
      </top>
      <bottom style="thin">
        <color theme="0" tint="-0.14990691854609822"/>
      </bottom>
      <diagonal/>
    </border>
    <border>
      <left/>
      <right/>
      <top style="thin">
        <color theme="0" tint="-0.14996795556505021"/>
      </top>
      <bottom style="thin">
        <color theme="0" tint="-0.1499069185460982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14981536301767021"/>
      </left>
      <right/>
      <top style="thin">
        <color theme="0" tint="-0.499984740745262"/>
      </top>
      <bottom style="thin">
        <color theme="0" tint="-0.1499679555650502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14981536301767021"/>
      </right>
      <top style="thin">
        <color theme="0" tint="-0.499984740745262"/>
      </top>
      <bottom style="thin">
        <color theme="0" tint="-0.14996795556505021"/>
      </bottom>
      <diagonal/>
    </border>
    <border>
      <left/>
      <right style="thin">
        <color theme="0" tint="-0.14981536301767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81536301767021"/>
      </right>
      <top style="thin">
        <color theme="0" tint="-0.14996795556505021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</borders>
  <cellStyleXfs count="7">
    <xf numFmtId="0" fontId="0" fillId="0" borderId="0"/>
    <xf numFmtId="0" fontId="1" fillId="0" borderId="0"/>
    <xf numFmtId="0" fontId="3" fillId="0" borderId="0"/>
    <xf numFmtId="0" fontId="4" fillId="0" borderId="0"/>
    <xf numFmtId="164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22">
    <xf numFmtId="0" fontId="0" fillId="0" borderId="0" xfId="0"/>
    <xf numFmtId="0" fontId="1" fillId="0" borderId="1" xfId="1" applyBorder="1"/>
    <xf numFmtId="0" fontId="1" fillId="0" borderId="0" xfId="1"/>
    <xf numFmtId="0" fontId="2" fillId="3" borderId="0" xfId="0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quotePrefix="1"/>
    <xf numFmtId="165" fontId="0" fillId="0" borderId="0" xfId="0" applyNumberFormat="1"/>
    <xf numFmtId="0" fontId="7" fillId="0" borderId="0" xfId="0" applyFont="1" applyAlignment="1">
      <alignment horizontal="centerContinuous"/>
    </xf>
    <xf numFmtId="166" fontId="7" fillId="0" borderId="0" xfId="6" applyNumberFormat="1" applyFont="1"/>
    <xf numFmtId="2" fontId="7" fillId="0" borderId="0" xfId="0" applyNumberFormat="1" applyFont="1"/>
    <xf numFmtId="0" fontId="6" fillId="4" borderId="2" xfId="0" applyFont="1" applyFill="1" applyBorder="1"/>
    <xf numFmtId="0" fontId="0" fillId="0" borderId="2" xfId="0" applyBorder="1"/>
    <xf numFmtId="0" fontId="0" fillId="0" borderId="3" xfId="0" applyBorder="1"/>
    <xf numFmtId="0" fontId="6" fillId="4" borderId="4" xfId="0" applyFont="1" applyFill="1" applyBorder="1" applyAlignment="1">
      <alignment horizontal="centerContinuous"/>
    </xf>
    <xf numFmtId="0" fontId="6" fillId="4" borderId="5" xfId="0" applyFont="1" applyFill="1" applyBorder="1" applyAlignment="1">
      <alignment horizontal="centerContinuous"/>
    </xf>
    <xf numFmtId="0" fontId="0" fillId="0" borderId="4" xfId="0" applyBorder="1"/>
    <xf numFmtId="0" fontId="0" fillId="0" borderId="6" xfId="0" applyBorder="1"/>
    <xf numFmtId="0" fontId="7" fillId="0" borderId="0" xfId="0" applyFont="1"/>
    <xf numFmtId="0" fontId="10" fillId="0" borderId="0" xfId="0" applyFont="1"/>
    <xf numFmtId="0" fontId="2" fillId="0" borderId="0" xfId="0" applyFont="1"/>
    <xf numFmtId="0" fontId="0" fillId="0" borderId="54" xfId="0" applyBorder="1"/>
    <xf numFmtId="0" fontId="0" fillId="0" borderId="55" xfId="0" applyBorder="1"/>
    <xf numFmtId="0" fontId="0" fillId="0" borderId="57" xfId="0" applyBorder="1"/>
    <xf numFmtId="0" fontId="0" fillId="0" borderId="58" xfId="0" applyBorder="1"/>
    <xf numFmtId="0" fontId="0" fillId="0" borderId="8" xfId="0" applyBorder="1"/>
    <xf numFmtId="0" fontId="10" fillId="0" borderId="8" xfId="0" applyFont="1" applyBorder="1"/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Continuous"/>
    </xf>
    <xf numFmtId="0" fontId="7" fillId="5" borderId="0" xfId="0" applyFont="1" applyFill="1"/>
    <xf numFmtId="169" fontId="0" fillId="0" borderId="0" xfId="0" applyNumberFormat="1"/>
    <xf numFmtId="0" fontId="7" fillId="5" borderId="0" xfId="0" applyFont="1" applyFill="1" applyAlignment="1">
      <alignment vertical="top"/>
    </xf>
    <xf numFmtId="164" fontId="7" fillId="0" borderId="7" xfId="0" applyNumberFormat="1" applyFont="1" applyBorder="1"/>
    <xf numFmtId="164" fontId="7" fillId="0" borderId="5" xfId="6" applyFont="1" applyBorder="1" applyAlignment="1"/>
    <xf numFmtId="164" fontId="7" fillId="0" borderId="5" xfId="0" applyNumberFormat="1" applyFont="1" applyBorder="1"/>
    <xf numFmtId="0" fontId="2" fillId="2" borderId="1" xfId="1" applyFont="1" applyFill="1" applyBorder="1" applyAlignment="1">
      <alignment horizontal="center" vertical="center"/>
    </xf>
    <xf numFmtId="0" fontId="13" fillId="2" borderId="1" xfId="1" applyFont="1" applyFill="1" applyBorder="1" applyAlignment="1">
      <alignment horizontal="center" vertical="center"/>
    </xf>
    <xf numFmtId="164" fontId="11" fillId="0" borderId="44" xfId="6" applyFont="1" applyBorder="1" applyAlignment="1">
      <alignment horizontal="center" vertical="center"/>
    </xf>
    <xf numFmtId="164" fontId="11" fillId="0" borderId="45" xfId="6" applyFont="1" applyBorder="1" applyAlignment="1">
      <alignment horizontal="center" vertical="center"/>
    </xf>
    <xf numFmtId="164" fontId="11" fillId="0" borderId="46" xfId="6" applyFont="1" applyBorder="1" applyAlignment="1">
      <alignment horizontal="center" vertical="center"/>
    </xf>
    <xf numFmtId="164" fontId="11" fillId="0" borderId="47" xfId="6" applyFont="1" applyBorder="1" applyAlignment="1">
      <alignment horizontal="center" vertical="center"/>
    </xf>
    <xf numFmtId="164" fontId="11" fillId="0" borderId="48" xfId="6" applyFont="1" applyBorder="1" applyAlignment="1">
      <alignment horizontal="center" vertical="center"/>
    </xf>
    <xf numFmtId="164" fontId="11" fillId="0" borderId="49" xfId="6" applyFont="1" applyBorder="1" applyAlignment="1">
      <alignment horizontal="center" vertical="center"/>
    </xf>
    <xf numFmtId="167" fontId="0" fillId="0" borderId="35" xfId="0" applyNumberFormat="1" applyBorder="1" applyAlignment="1">
      <alignment horizontal="right" vertical="top"/>
    </xf>
    <xf numFmtId="167" fontId="0" fillId="0" borderId="40" xfId="0" applyNumberFormat="1" applyBorder="1" applyAlignment="1">
      <alignment horizontal="right" vertical="top"/>
    </xf>
    <xf numFmtId="168" fontId="0" fillId="0" borderId="35" xfId="0" applyNumberFormat="1" applyBorder="1" applyAlignment="1">
      <alignment horizontal="right" vertical="top"/>
    </xf>
    <xf numFmtId="168" fontId="0" fillId="0" borderId="40" xfId="0" applyNumberFormat="1" applyBorder="1" applyAlignment="1">
      <alignment horizontal="right" vertical="top"/>
    </xf>
    <xf numFmtId="0" fontId="7" fillId="0" borderId="55" xfId="0" applyFont="1" applyBorder="1" applyAlignment="1">
      <alignment vertical="center" wrapText="1"/>
    </xf>
    <xf numFmtId="0" fontId="7" fillId="0" borderId="56" xfId="0" applyFont="1" applyBorder="1" applyAlignment="1">
      <alignment vertical="center" wrapText="1"/>
    </xf>
    <xf numFmtId="0" fontId="7" fillId="0" borderId="58" xfId="0" applyFont="1" applyBorder="1" applyAlignment="1">
      <alignment vertical="center" wrapText="1"/>
    </xf>
    <xf numFmtId="0" fontId="7" fillId="0" borderId="59" xfId="0" applyFont="1" applyBorder="1" applyAlignment="1">
      <alignment vertical="center" wrapText="1"/>
    </xf>
    <xf numFmtId="20" fontId="0" fillId="0" borderId="34" xfId="0" applyNumberFormat="1" applyBorder="1" applyAlignment="1">
      <alignment horizontal="center" vertical="top"/>
    </xf>
    <xf numFmtId="20" fontId="0" fillId="0" borderId="35" xfId="0" applyNumberFormat="1" applyBorder="1" applyAlignment="1">
      <alignment horizontal="center" vertical="top"/>
    </xf>
    <xf numFmtId="0" fontId="0" fillId="0" borderId="41" xfId="0" applyBorder="1" applyAlignment="1">
      <alignment horizontal="center" vertical="top"/>
    </xf>
    <xf numFmtId="0" fontId="0" fillId="0" borderId="42" xfId="0" applyBorder="1" applyAlignment="1">
      <alignment horizontal="center" vertical="top"/>
    </xf>
    <xf numFmtId="0" fontId="0" fillId="0" borderId="43" xfId="0" applyBorder="1" applyAlignment="1">
      <alignment horizontal="center" vertical="top"/>
    </xf>
    <xf numFmtId="0" fontId="0" fillId="0" borderId="75" xfId="0" applyBorder="1" applyAlignment="1">
      <alignment horizontal="center" vertical="top"/>
    </xf>
    <xf numFmtId="0" fontId="0" fillId="0" borderId="76" xfId="0" applyBorder="1" applyAlignment="1">
      <alignment horizontal="center" vertical="top"/>
    </xf>
    <xf numFmtId="0" fontId="0" fillId="0" borderId="77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20" fontId="0" fillId="0" borderId="26" xfId="0" applyNumberFormat="1" applyBorder="1" applyAlignment="1">
      <alignment horizontal="center" vertical="top"/>
    </xf>
    <xf numFmtId="20" fontId="0" fillId="0" borderId="27" xfId="0" applyNumberFormat="1" applyBorder="1" applyAlignment="1">
      <alignment horizontal="center" vertical="top"/>
    </xf>
    <xf numFmtId="20" fontId="0" fillId="0" borderId="30" xfId="0" applyNumberFormat="1" applyBorder="1" applyAlignment="1">
      <alignment vertical="top" wrapText="1"/>
    </xf>
    <xf numFmtId="20" fontId="0" fillId="0" borderId="9" xfId="0" applyNumberFormat="1" applyBorder="1" applyAlignment="1">
      <alignment vertical="top" wrapText="1"/>
    </xf>
    <xf numFmtId="20" fontId="0" fillId="0" borderId="31" xfId="0" applyNumberFormat="1" applyBorder="1" applyAlignment="1">
      <alignment vertical="top" wrapText="1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168" fontId="0" fillId="0" borderId="33" xfId="0" applyNumberFormat="1" applyBorder="1" applyAlignment="1">
      <alignment horizontal="right" vertical="top"/>
    </xf>
    <xf numFmtId="0" fontId="11" fillId="0" borderId="10" xfId="0" applyFont="1" applyBorder="1" applyAlignment="1">
      <alignment horizontal="center" vertical="center"/>
    </xf>
    <xf numFmtId="0" fontId="0" fillId="0" borderId="20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21" xfId="0" applyBorder="1" applyAlignment="1">
      <alignment vertical="top" wrapText="1"/>
    </xf>
    <xf numFmtId="0" fontId="0" fillId="0" borderId="22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23" xfId="0" applyBorder="1" applyAlignment="1">
      <alignment vertical="top" wrapText="1"/>
    </xf>
    <xf numFmtId="0" fontId="10" fillId="0" borderId="11" xfId="0" applyFont="1" applyBorder="1" applyAlignment="1">
      <alignment horizontal="center" vertical="top" wrapText="1"/>
    </xf>
    <xf numFmtId="0" fontId="10" fillId="0" borderId="12" xfId="0" applyFont="1" applyBorder="1" applyAlignment="1">
      <alignment horizontal="center" vertical="top" wrapText="1"/>
    </xf>
    <xf numFmtId="0" fontId="10" fillId="0" borderId="14" xfId="0" applyFont="1" applyBorder="1" applyAlignment="1">
      <alignment horizontal="center" vertical="top" wrapText="1"/>
    </xf>
    <xf numFmtId="167" fontId="0" fillId="0" borderId="33" xfId="0" applyNumberFormat="1" applyBorder="1" applyAlignment="1">
      <alignment horizontal="right" vertical="top"/>
    </xf>
    <xf numFmtId="0" fontId="10" fillId="0" borderId="15" xfId="0" applyFont="1" applyBorder="1" applyAlignment="1">
      <alignment vertical="top" wrapText="1"/>
    </xf>
    <xf numFmtId="0" fontId="10" fillId="0" borderId="13" xfId="0" applyFont="1" applyBorder="1" applyAlignment="1">
      <alignment horizontal="center" vertical="top" wrapText="1"/>
    </xf>
    <xf numFmtId="0" fontId="10" fillId="0" borderId="65" xfId="0" applyFont="1" applyBorder="1" applyAlignment="1">
      <alignment horizontal="center" vertical="top" wrapText="1"/>
    </xf>
    <xf numFmtId="0" fontId="10" fillId="0" borderId="63" xfId="0" applyFont="1" applyBorder="1" applyAlignment="1">
      <alignment horizontal="center" vertical="top" wrapText="1"/>
    </xf>
    <xf numFmtId="0" fontId="10" fillId="0" borderId="66" xfId="0" applyFont="1" applyBorder="1" applyAlignment="1">
      <alignment horizontal="center" vertical="top" wrapText="1"/>
    </xf>
    <xf numFmtId="0" fontId="10" fillId="0" borderId="67" xfId="0" applyFont="1" applyBorder="1" applyAlignment="1">
      <alignment horizontal="center" vertical="top" wrapText="1"/>
    </xf>
    <xf numFmtId="0" fontId="10" fillId="0" borderId="0" xfId="0" applyFont="1" applyAlignment="1">
      <alignment horizontal="center" vertical="top" wrapText="1"/>
    </xf>
    <xf numFmtId="0" fontId="10" fillId="0" borderId="68" xfId="0" applyFont="1" applyBorder="1" applyAlignment="1">
      <alignment horizontal="center" vertical="top" wrapText="1"/>
    </xf>
    <xf numFmtId="0" fontId="10" fillId="0" borderId="69" xfId="0" applyFont="1" applyBorder="1" applyAlignment="1">
      <alignment horizontal="center" vertical="center" wrapText="1"/>
    </xf>
    <xf numFmtId="0" fontId="10" fillId="0" borderId="70" xfId="0" applyFont="1" applyBorder="1" applyAlignment="1">
      <alignment horizontal="center" vertical="center" wrapText="1"/>
    </xf>
    <xf numFmtId="0" fontId="10" fillId="0" borderId="71" xfId="0" applyFont="1" applyBorder="1" applyAlignment="1">
      <alignment horizontal="center" vertical="center" wrapText="1"/>
    </xf>
    <xf numFmtId="167" fontId="0" fillId="0" borderId="64" xfId="0" applyNumberFormat="1" applyBorder="1" applyAlignment="1">
      <alignment horizontal="right" vertical="top"/>
    </xf>
    <xf numFmtId="167" fontId="0" fillId="0" borderId="16" xfId="0" applyNumberFormat="1" applyBorder="1" applyAlignment="1">
      <alignment horizontal="right" vertical="top"/>
    </xf>
    <xf numFmtId="167" fontId="0" fillId="0" borderId="72" xfId="0" applyNumberFormat="1" applyBorder="1" applyAlignment="1">
      <alignment horizontal="right" vertical="top"/>
    </xf>
    <xf numFmtId="167" fontId="0" fillId="0" borderId="60" xfId="0" applyNumberFormat="1" applyBorder="1" applyAlignment="1">
      <alignment horizontal="right" vertical="top"/>
    </xf>
    <xf numFmtId="167" fontId="0" fillId="0" borderId="9" xfId="0" applyNumberFormat="1" applyBorder="1" applyAlignment="1">
      <alignment horizontal="right" vertical="top"/>
    </xf>
    <xf numFmtId="167" fontId="0" fillId="0" borderId="73" xfId="0" applyNumberFormat="1" applyBorder="1" applyAlignment="1">
      <alignment horizontal="right" vertical="top"/>
    </xf>
    <xf numFmtId="0" fontId="10" fillId="0" borderId="15" xfId="0" applyFont="1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6" xfId="0" applyBorder="1" applyAlignment="1">
      <alignment vertical="top"/>
    </xf>
    <xf numFmtId="0" fontId="0" fillId="0" borderId="51" xfId="0" applyBorder="1" applyAlignment="1">
      <alignment vertical="top"/>
    </xf>
    <xf numFmtId="20" fontId="0" fillId="0" borderId="37" xfId="0" applyNumberFormat="1" applyBorder="1" applyAlignment="1">
      <alignment vertical="top" wrapText="1"/>
    </xf>
    <xf numFmtId="20" fontId="0" fillId="0" borderId="36" xfId="0" applyNumberFormat="1" applyBorder="1" applyAlignment="1">
      <alignment vertical="top" wrapText="1"/>
    </xf>
    <xf numFmtId="20" fontId="0" fillId="0" borderId="38" xfId="0" applyNumberFormat="1" applyBorder="1" applyAlignment="1">
      <alignment vertical="top" wrapText="1"/>
    </xf>
    <xf numFmtId="20" fontId="0" fillId="0" borderId="24" xfId="0" applyNumberFormat="1" applyBorder="1" applyAlignment="1">
      <alignment horizontal="center" vertical="top"/>
    </xf>
    <xf numFmtId="20" fontId="0" fillId="0" borderId="25" xfId="0" applyNumberFormat="1" applyBorder="1" applyAlignment="1">
      <alignment horizontal="center" vertical="top"/>
    </xf>
    <xf numFmtId="167" fontId="0" fillId="0" borderId="61" xfId="0" applyNumberFormat="1" applyBorder="1" applyAlignment="1">
      <alignment horizontal="right" vertical="top"/>
    </xf>
    <xf numFmtId="167" fontId="0" fillId="0" borderId="62" xfId="0" applyNumberFormat="1" applyBorder="1" applyAlignment="1">
      <alignment horizontal="right" vertical="top"/>
    </xf>
    <xf numFmtId="167" fontId="0" fillId="0" borderId="74" xfId="0" applyNumberFormat="1" applyBorder="1" applyAlignment="1">
      <alignment horizontal="right" vertical="top"/>
    </xf>
    <xf numFmtId="20" fontId="0" fillId="0" borderId="28" xfId="0" applyNumberFormat="1" applyBorder="1" applyAlignment="1">
      <alignment vertical="top" wrapText="1"/>
    </xf>
    <xf numFmtId="20" fontId="0" fillId="0" borderId="16" xfId="0" applyNumberFormat="1" applyBorder="1" applyAlignment="1">
      <alignment vertical="top" wrapText="1"/>
    </xf>
    <xf numFmtId="20" fontId="0" fillId="0" borderId="29" xfId="0" applyNumberFormat="1" applyBorder="1" applyAlignment="1">
      <alignment vertical="top" wrapText="1"/>
    </xf>
    <xf numFmtId="20" fontId="0" fillId="0" borderId="52" xfId="0" applyNumberFormat="1" applyBorder="1" applyAlignment="1">
      <alignment horizontal="center" vertical="top"/>
    </xf>
    <xf numFmtId="20" fontId="0" fillId="0" borderId="53" xfId="0" applyNumberFormat="1" applyBorder="1" applyAlignment="1">
      <alignment horizontal="center" vertical="top"/>
    </xf>
    <xf numFmtId="20" fontId="0" fillId="0" borderId="32" xfId="0" applyNumberFormat="1" applyBorder="1" applyAlignment="1">
      <alignment horizontal="center" vertical="top"/>
    </xf>
    <xf numFmtId="20" fontId="0" fillId="0" borderId="33" xfId="0" applyNumberFormat="1" applyBorder="1" applyAlignment="1">
      <alignment horizontal="center" vertical="top"/>
    </xf>
    <xf numFmtId="20" fontId="0" fillId="0" borderId="39" xfId="0" applyNumberFormat="1" applyBorder="1" applyAlignment="1">
      <alignment horizontal="center" vertical="top"/>
    </xf>
    <xf numFmtId="20" fontId="0" fillId="0" borderId="40" xfId="0" applyNumberFormat="1" applyBorder="1" applyAlignment="1">
      <alignment horizontal="center" vertical="top"/>
    </xf>
  </cellXfs>
  <cellStyles count="7">
    <cellStyle name="Comma" xfId="6" builtinId="3"/>
    <cellStyle name="Comma 2" xfId="4" xr:uid="{00000000-0005-0000-0000-000001000000}"/>
    <cellStyle name="Hyperlink 2" xfId="5" xr:uid="{00000000-0005-0000-0000-000002000000}"/>
    <cellStyle name="Normal" xfId="0" builtinId="0"/>
    <cellStyle name="Normal 2" xfId="1" xr:uid="{00000000-0005-0000-0000-000004000000}"/>
    <cellStyle name="Normal 2 2" xfId="2" xr:uid="{00000000-0005-0000-0000-000005000000}"/>
    <cellStyle name="Normal 3" xfId="3" xr:uid="{00000000-0005-0000-0000-000006000000}"/>
  </cellStyles>
  <dxfs count="4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ddd\ dd/mmm/yyyy"/>
    </dxf>
    <dxf>
      <numFmt numFmtId="169" formatCode="[$-10409]hh:mm\ AM/PM;@"/>
    </dxf>
    <dxf>
      <numFmt numFmtId="0" formatCode="General"/>
    </dxf>
    <dxf>
      <numFmt numFmtId="169" formatCode="[$-10409]hh:mm\ AM/PM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ddd\ dd/mmm/yyyy"/>
    </dxf>
    <dxf>
      <font>
        <color theme="0"/>
      </font>
      <fill>
        <patternFill>
          <bgColor rgb="FFFF0000"/>
        </patternFill>
      </fill>
    </dxf>
    <dxf>
      <numFmt numFmtId="2" formatCode="0.00"/>
    </dxf>
    <dxf>
      <numFmt numFmtId="170" formatCode="dd\-mmm\-yyyy"/>
    </dxf>
    <dxf>
      <numFmt numFmtId="170" formatCode="dd\-mmm\-yyyy"/>
    </dxf>
    <dxf>
      <numFmt numFmtId="0" formatCode="General"/>
    </dxf>
    <dxf>
      <numFmt numFmtId="171" formatCode="[$-F400]h:mm:ss\ AM/PM"/>
    </dxf>
    <dxf>
      <numFmt numFmtId="0" formatCode="General"/>
    </dxf>
    <dxf>
      <numFmt numFmtId="171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ddd\ dd/m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ddd\ dd/mmm/yyyy"/>
    </dxf>
    <dxf>
      <numFmt numFmtId="0" formatCode="General"/>
    </dxf>
    <dxf>
      <numFmt numFmtId="0" formatCode="General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border>
        <vertical/>
        <horizontal/>
      </border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vertical style="thin">
          <color rgb="FFC6C6C6"/>
        </vertical>
        <horizontal style="thin">
          <color rgb="FFC6C6C6"/>
        </horizontal>
      </border>
    </dxf>
    <dxf>
      <fill>
        <patternFill>
          <bgColor rgb="FF9FD5B7"/>
        </patternFill>
      </fill>
    </dxf>
    <dxf>
      <font>
        <b/>
        <i val="0"/>
        <color rgb="FFFFFFFF"/>
      </font>
      <fill>
        <patternFill>
          <bgColor rgb="FF217346"/>
        </patternFill>
      </fill>
    </dxf>
    <dxf>
      <border>
        <left style="thin">
          <color rgb="FF439467"/>
        </left>
        <right style="thin">
          <color rgb="FF439467"/>
        </right>
        <top style="thin">
          <color rgb="FF439467"/>
        </top>
        <bottom style="thin">
          <color rgb="FF439467"/>
        </bottom>
        <horizontal style="thin">
          <color rgb="FF439467"/>
        </horizontal>
      </border>
    </dxf>
    <dxf>
      <fill>
        <patternFill>
          <bgColor rgb="FFFCE4D6"/>
        </patternFill>
      </fill>
    </dxf>
    <dxf>
      <font>
        <b/>
        <i val="0"/>
        <color rgb="FFFFFFFF"/>
      </font>
      <fill>
        <patternFill>
          <bgColor rgb="FFED7D31"/>
        </patternFill>
      </fill>
    </dxf>
    <dxf>
      <border>
        <left style="thin">
          <color rgb="FFF4B084"/>
        </left>
        <right style="thin">
          <color rgb="FFF4B084"/>
        </right>
        <top style="thin">
          <color rgb="FFF4B084"/>
        </top>
        <bottom style="thin">
          <color rgb="FFF4B084"/>
        </bottom>
        <horizontal style="thin">
          <color rgb="FFF4B084"/>
        </horizontal>
      </border>
    </dxf>
  </dxfs>
  <tableStyles count="4" defaultTableStyle="TableStyleMedium2" defaultPivotStyle="PivotStyleLight16">
    <tableStyle name="TableStyleQueryError" pivot="0" count="3" xr9:uid="{00000000-0011-0000-FFFF-FFFF00000000}">
      <tableStyleElement type="wholeTable" dxfId="47"/>
      <tableStyleElement type="headerRow" dxfId="46"/>
      <tableStyleElement type="firstRowStripe" dxfId="45"/>
    </tableStyle>
    <tableStyle name="TableStyleQueryInfo" pivot="0" count="3" xr9:uid="{00000000-0011-0000-FFFF-FFFF01000000}">
      <tableStyleElement type="wholeTable" dxfId="44"/>
      <tableStyleElement type="headerRow" dxfId="43"/>
      <tableStyleElement type="firstRowStripe" dxfId="42"/>
    </tableStyle>
    <tableStyle name="TableStyleQueryPreview" pivot="0" count="4" xr9:uid="{00000000-0011-0000-FFFF-FFFF02000000}">
      <tableStyleElement type="wholeTable" dxfId="41"/>
      <tableStyleElement type="headerRow" dxfId="40"/>
      <tableStyleElement type="totalRow" dxfId="39"/>
      <tableStyleElement type="firstRowStripe" dxfId="38"/>
    </tableStyle>
    <tableStyle name="TableStyleQueryResult" pivot="0" count="3" xr9:uid="{00000000-0011-0000-FFFF-FFFF03000000}">
      <tableStyleElement type="wholeTable" dxfId="37"/>
      <tableStyleElement type="headerRow" dxfId="36"/>
      <tableStyleElement type="firstRowStripe" dxfId="3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#HOME_ERR01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hyperlink" Target="#HOME_TES"/><Relationship Id="rId2" Type="http://schemas.openxmlformats.org/officeDocument/2006/relationships/image" Target="../media/image2.png"/><Relationship Id="rId16" Type="http://schemas.openxmlformats.org/officeDocument/2006/relationships/image" Target="../media/image10.png"/><Relationship Id="rId1" Type="http://schemas.openxmlformats.org/officeDocument/2006/relationships/image" Target="../media/image1.png"/><Relationship Id="rId6" Type="http://schemas.openxmlformats.org/officeDocument/2006/relationships/hyperlink" Target="#HOME_VL"/><Relationship Id="rId11" Type="http://schemas.openxmlformats.org/officeDocument/2006/relationships/hyperlink" Target="#HOME_TE"/><Relationship Id="rId5" Type="http://schemas.openxmlformats.org/officeDocument/2006/relationships/image" Target="../media/image4.png"/><Relationship Id="rId15" Type="http://schemas.openxmlformats.org/officeDocument/2006/relationships/hyperlink" Target="#HOME_ERR02"/><Relationship Id="rId10" Type="http://schemas.openxmlformats.org/officeDocument/2006/relationships/image" Target="../media/image8.png"/><Relationship Id="rId4" Type="http://schemas.openxmlformats.org/officeDocument/2006/relationships/hyperlink" Target="#HOME_SETPARAM"/><Relationship Id="rId9" Type="http://schemas.openxmlformats.org/officeDocument/2006/relationships/image" Target="../media/image7.png"/><Relationship Id="rId14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HOME_CTRL"/><Relationship Id="rId2" Type="http://schemas.openxmlformats.org/officeDocument/2006/relationships/image" Target="../media/image11.png"/><Relationship Id="rId1" Type="http://schemas.openxmlformats.org/officeDocument/2006/relationships/image" Target="../media/image3.png"/><Relationship Id="rId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hyperlink" Target="#HOME_CTR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hyperlink" Target="#HOME_CTR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hyperlink" Target="#HOME_CTR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hyperlink" Target="#HOME_CTR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hyperlink" Target="#HOME_CTR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7</xdr:row>
      <xdr:rowOff>176870</xdr:rowOff>
    </xdr:from>
    <xdr:to>
      <xdr:col>32</xdr:col>
      <xdr:colOff>5336</xdr:colOff>
      <xdr:row>11</xdr:row>
      <xdr:rowOff>1807</xdr:rowOff>
    </xdr:to>
    <xdr:sp macro="" textlink="">
      <xdr:nvSpPr>
        <xdr:cNvPr id="3" name="Rectangle 2" descr="Light horizonta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1" y="1443695"/>
          <a:ext cx="5791199" cy="548837"/>
        </a:xfrm>
        <a:prstGeom prst="rect">
          <a:avLst/>
        </a:prstGeom>
        <a:pattFill prst="ltHorz">
          <a:fgClr>
            <a:srgbClr val="D9ECFF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45720" tIns="59436" rIns="45720" bIns="59436" anchor="ctr" upright="1"/>
        <a:lstStyle/>
        <a:p>
          <a:pPr algn="ctr" rtl="0">
            <a:defRPr sz="1000"/>
          </a:pPr>
          <a:r>
            <a:rPr lang="en-IN" sz="2600" b="0" i="0" u="none" strike="noStrike" baseline="0">
              <a:solidFill>
                <a:srgbClr val="000000"/>
              </a:solidFill>
              <a:latin typeface="Monotype Corsiva"/>
            </a:rPr>
            <a:t>EpicMinds Travel Statement Generator</a:t>
          </a:r>
        </a:p>
      </xdr:txBody>
    </xdr:sp>
    <xdr:clientData/>
  </xdr:twoCellAnchor>
  <xdr:twoCellAnchor>
    <xdr:from>
      <xdr:col>22</xdr:col>
      <xdr:colOff>329</xdr:colOff>
      <xdr:row>15</xdr:row>
      <xdr:rowOff>184484</xdr:rowOff>
    </xdr:from>
    <xdr:to>
      <xdr:col>28</xdr:col>
      <xdr:colOff>330</xdr:colOff>
      <xdr:row>18</xdr:row>
      <xdr:rowOff>0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3981779" y="2899109"/>
          <a:ext cx="1085851" cy="358441"/>
          <a:chOff x="190887" y="3670151"/>
          <a:chExt cx="1103587" cy="367862"/>
        </a:xfrm>
      </xdr:grpSpPr>
      <xdr:sp macro="[0]!Quit_App" textlink="">
        <xdr:nvSpPr>
          <xdr:cNvPr id="4" name="AutoShape 1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190887" y="3670151"/>
            <a:ext cx="1103587" cy="367862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algn="ctr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QUIT</a:t>
            </a:r>
          </a:p>
        </xdr:txBody>
      </xdr:sp>
      <xdr:pic macro="[0]!Quit_App">
        <xdr:nvPicPr>
          <xdr:cNvPr id="5" name="Picture 3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7102" y="3719199"/>
            <a:ext cx="183931" cy="193741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7</xdr:col>
      <xdr:colOff>184484</xdr:colOff>
      <xdr:row>19</xdr:row>
      <xdr:rowOff>9951</xdr:rowOff>
    </xdr:from>
    <xdr:to>
      <xdr:col>14</xdr:col>
      <xdr:colOff>0</xdr:colOff>
      <xdr:row>20</xdr:row>
      <xdr:rowOff>184484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451309" y="3448476"/>
          <a:ext cx="1082341" cy="355508"/>
          <a:chOff x="2763980" y="3130868"/>
          <a:chExt cx="1103586" cy="358463"/>
        </a:xfrm>
      </xdr:grpSpPr>
      <xdr:sp macro="[0]!ShowHelp" textlink="">
        <xdr:nvSpPr>
          <xdr:cNvPr id="8" name="AutoShape 1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2763980" y="3130868"/>
            <a:ext cx="1103586" cy="358463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algn="ctr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HELP</a:t>
            </a:r>
          </a:p>
        </xdr:txBody>
      </xdr:sp>
      <xdr:pic macro="[0]!ShowHelp">
        <xdr:nvPicPr>
          <xdr:cNvPr id="9" name="Picture 17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822838" y="3155412"/>
            <a:ext cx="252598" cy="23316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</xdr:col>
      <xdr:colOff>1</xdr:colOff>
      <xdr:row>19</xdr:row>
      <xdr:rowOff>12125</xdr:rowOff>
    </xdr:from>
    <xdr:to>
      <xdr:col>6</xdr:col>
      <xdr:colOff>179508</xdr:colOff>
      <xdr:row>21</xdr:row>
      <xdr:rowOff>12126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80976" y="3450650"/>
          <a:ext cx="1084382" cy="361951"/>
          <a:chOff x="4054103" y="3132206"/>
          <a:chExt cx="1086404" cy="362484"/>
        </a:xfrm>
      </xdr:grpSpPr>
      <xdr:sp macro="[0]!Re_set" textlink="">
        <xdr:nvSpPr>
          <xdr:cNvPr id="10" name="AutoShape 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4054103" y="3132206"/>
            <a:ext cx="1086404" cy="362484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algn="ctr">
            <a:solidFill>
              <a:srgbClr val="000000"/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RESET</a:t>
            </a:r>
          </a:p>
        </xdr:txBody>
      </xdr:sp>
      <xdr:pic macro="[0]!Re_set">
        <xdr:nvPicPr>
          <xdr:cNvPr id="11" name="Picture 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290" t="18059" r="26008" b="6691"/>
          <a:stretch/>
        </xdr:blipFill>
        <xdr:spPr bwMode="auto">
          <a:xfrm>
            <a:off x="4140224" y="3230507"/>
            <a:ext cx="150379" cy="150524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</xdr:col>
      <xdr:colOff>0</xdr:colOff>
      <xdr:row>13</xdr:row>
      <xdr:rowOff>1</xdr:rowOff>
    </xdr:from>
    <xdr:to>
      <xdr:col>7</xdr:col>
      <xdr:colOff>0</xdr:colOff>
      <xdr:row>15</xdr:row>
      <xdr:rowOff>134</xdr:rowOff>
    </xdr:to>
    <xdr:grpSp>
      <xdr:nvGrpSpPr>
        <xdr:cNvPr id="15" name="Group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52CCA6-3936-41E5-B794-36A7E157A91B}"/>
            </a:ext>
          </a:extLst>
        </xdr:cNvPr>
        <xdr:cNvGrpSpPr/>
      </xdr:nvGrpSpPr>
      <xdr:grpSpPr>
        <a:xfrm>
          <a:off x="180975" y="2352676"/>
          <a:ext cx="1085850" cy="362083"/>
          <a:chOff x="187362" y="2340189"/>
          <a:chExt cx="1124172" cy="360162"/>
        </a:xfrm>
      </xdr:grpSpPr>
      <xdr:sp macro="" textlink="">
        <xdr:nvSpPr>
          <xdr:cNvPr id="12" name="AutoShape 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187362" y="2346847"/>
            <a:ext cx="1124172" cy="353504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algn="ctr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IN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SET</a:t>
            </a:r>
          </a:p>
          <a:p>
            <a:pPr algn="ctr" rtl="0">
              <a:defRPr sz="1000"/>
            </a:pPr>
            <a:r>
              <a:rPr lang="en-IN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PARAMETERS</a:t>
            </a:r>
          </a:p>
        </xdr:txBody>
      </xdr:sp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97771" y="2340189"/>
            <a:ext cx="202690" cy="195263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6568</xdr:colOff>
      <xdr:row>13</xdr:row>
      <xdr:rowOff>1</xdr:rowOff>
    </xdr:from>
    <xdr:to>
      <xdr:col>21</xdr:col>
      <xdr:colOff>6569</xdr:colOff>
      <xdr:row>15</xdr:row>
      <xdr:rowOff>0</xdr:rowOff>
    </xdr:to>
    <xdr:grpSp>
      <xdr:nvGrpSpPr>
        <xdr:cNvPr id="7" name="Group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34FA1DA-1B8B-438C-8968-1521EE1C7B7A}"/>
            </a:ext>
          </a:extLst>
        </xdr:cNvPr>
        <xdr:cNvGrpSpPr/>
      </xdr:nvGrpSpPr>
      <xdr:grpSpPr>
        <a:xfrm>
          <a:off x="2721193" y="2352676"/>
          <a:ext cx="1085851" cy="361949"/>
          <a:chOff x="2773831" y="2398296"/>
          <a:chExt cx="1106906" cy="368967"/>
        </a:xfrm>
      </xdr:grpSpPr>
      <xdr:sp macro="" textlink="">
        <xdr:nvSpPr>
          <xdr:cNvPr id="16" name="AutoShape 1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2773831" y="2398296"/>
            <a:ext cx="1106906" cy="368967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algn="ctr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VIEW</a:t>
            </a:r>
          </a:p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DATA VEHICLE LOG</a:t>
            </a:r>
          </a:p>
        </xdr:txBody>
      </xdr:sp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t="1" r="11266" b="14274"/>
          <a:stretch/>
        </xdr:blipFill>
        <xdr:spPr>
          <a:xfrm>
            <a:off x="2794775" y="2406159"/>
            <a:ext cx="166212" cy="16057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3572</xdr:colOff>
      <xdr:row>13</xdr:row>
      <xdr:rowOff>1905</xdr:rowOff>
    </xdr:from>
    <xdr:to>
      <xdr:col>14</xdr:col>
      <xdr:colOff>3572</xdr:colOff>
      <xdr:row>15</xdr:row>
      <xdr:rowOff>1905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C28E9EB-F012-4739-BE24-384AD1BDDF63}"/>
            </a:ext>
          </a:extLst>
        </xdr:cNvPr>
        <xdr:cNvGrpSpPr/>
      </xdr:nvGrpSpPr>
      <xdr:grpSpPr>
        <a:xfrm>
          <a:off x="1451372" y="2354580"/>
          <a:ext cx="1085850" cy="361950"/>
          <a:chOff x="1502468" y="2342093"/>
          <a:chExt cx="1124172" cy="360029"/>
        </a:xfrm>
      </xdr:grpSpPr>
      <xdr:sp macro="[0]!Refresh_All" textlink="" fLocksText="0">
        <xdr:nvSpPr>
          <xdr:cNvPr id="18" name="AutoShape 1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1502468" y="2342093"/>
            <a:ext cx="1124172" cy="360029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algn="ctr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IN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GET DATA</a:t>
            </a:r>
          </a:p>
        </xdr:txBody>
      </xdr:sp>
      <xdr:pic macro="[0]!Refresh_All">
        <xdr:nvPicPr>
          <xdr:cNvPr id="32" name="Pictur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45670" y="2413563"/>
            <a:ext cx="220820" cy="212159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36576</xdr:colOff>
      <xdr:row>2</xdr:row>
      <xdr:rowOff>57853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6464" cy="423613"/>
        </a:xfrm>
        <a:prstGeom prst="rect">
          <a:avLst/>
        </a:prstGeom>
      </xdr:spPr>
    </xdr:pic>
    <xdr:clientData/>
  </xdr:twoCellAnchor>
  <xdr:twoCellAnchor>
    <xdr:from>
      <xdr:col>22</xdr:col>
      <xdr:colOff>565</xdr:colOff>
      <xdr:row>13</xdr:row>
      <xdr:rowOff>0</xdr:rowOff>
    </xdr:from>
    <xdr:to>
      <xdr:col>28</xdr:col>
      <xdr:colOff>2</xdr:colOff>
      <xdr:row>15</xdr:row>
      <xdr:rowOff>614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6649491-1454-45F8-BE20-36D386668CA2}"/>
            </a:ext>
          </a:extLst>
        </xdr:cNvPr>
        <xdr:cNvGrpSpPr/>
      </xdr:nvGrpSpPr>
      <xdr:grpSpPr>
        <a:xfrm>
          <a:off x="3982015" y="2352675"/>
          <a:ext cx="1085287" cy="362564"/>
          <a:chOff x="3982015" y="2352675"/>
          <a:chExt cx="1085287" cy="362564"/>
        </a:xfrm>
      </xdr:grpSpPr>
      <xdr:sp macro="[0]!Split_FilesVL" textlink="">
        <xdr:nvSpPr>
          <xdr:cNvPr id="27" name="AutoShape 1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3982015" y="2352675"/>
            <a:ext cx="1085287" cy="362564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algn="ctr">
            <a:solidFill>
              <a:srgbClr val="000000"/>
            </a:solidFill>
            <a:round/>
            <a:headEnd/>
            <a:tailEnd/>
          </a:ln>
        </xdr:spPr>
        <xdr:txBody>
          <a:bodyPr vertOverflow="overflow" horzOverflow="overflow" wrap="square" lIns="27432" tIns="22860" rIns="27432" bIns="22860" anchor="ctr" upright="1"/>
          <a:lstStyle/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GEN.</a:t>
            </a:r>
          </a:p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VEHICLE</a:t>
            </a:r>
          </a:p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LOGS</a:t>
            </a:r>
          </a:p>
        </xdr:txBody>
      </xdr:sp>
      <xdr:pic macro="[0]!Split_FilesVL">
        <xdr:nvPicPr>
          <xdr:cNvPr id="19" name="Picture 18">
            <a:extLst>
              <a:ext uri="{FF2B5EF4-FFF2-40B4-BE49-F238E27FC236}">
                <a16:creationId xmlns:a16="http://schemas.microsoft.com/office/drawing/2014/main" id="{F3D7EEF9-8204-401D-8251-52C3568215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06928" y="2363648"/>
            <a:ext cx="242551" cy="24981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15</xdr:row>
      <xdr:rowOff>184484</xdr:rowOff>
    </xdr:from>
    <xdr:to>
      <xdr:col>7</xdr:col>
      <xdr:colOff>1</xdr:colOff>
      <xdr:row>17</xdr:row>
      <xdr:rowOff>184482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335F746-E10B-4EA2-8DD8-F6EE254FDA71}"/>
            </a:ext>
          </a:extLst>
        </xdr:cNvPr>
        <xdr:cNvGrpSpPr/>
      </xdr:nvGrpSpPr>
      <xdr:grpSpPr>
        <a:xfrm>
          <a:off x="180975" y="2899109"/>
          <a:ext cx="1085851" cy="361948"/>
          <a:chOff x="2773831" y="2398296"/>
          <a:chExt cx="1106906" cy="368967"/>
        </a:xfrm>
      </xdr:grpSpPr>
      <xdr:sp macro="" textlink="">
        <xdr:nvSpPr>
          <xdr:cNvPr id="31" name="AutoShape 1">
            <a:extLst>
              <a:ext uri="{FF2B5EF4-FFF2-40B4-BE49-F238E27FC236}">
                <a16:creationId xmlns:a16="http://schemas.microsoft.com/office/drawing/2014/main" id="{8AB97E8F-E3C6-454F-A7E9-19B33FC2299B}"/>
              </a:ext>
            </a:extLst>
          </xdr:cNvPr>
          <xdr:cNvSpPr>
            <a:spLocks noChangeArrowheads="1"/>
          </xdr:cNvSpPr>
        </xdr:nvSpPr>
        <xdr:spPr bwMode="auto">
          <a:xfrm>
            <a:off x="2773831" y="2398296"/>
            <a:ext cx="1106906" cy="368967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algn="ctr">
            <a:solidFill>
              <a:srgbClr val="000000"/>
            </a:solidFill>
            <a:round/>
            <a:headEnd/>
            <a:tailEnd/>
          </a:ln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VIEW</a:t>
            </a:r>
          </a:p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TRAVEL EXP LOG</a:t>
            </a:r>
          </a:p>
        </xdr:txBody>
      </xdr:sp>
      <xdr:pic>
        <xdr:nvPicPr>
          <xdr:cNvPr id="33" name="Picture 32">
            <a:extLst>
              <a:ext uri="{FF2B5EF4-FFF2-40B4-BE49-F238E27FC236}">
                <a16:creationId xmlns:a16="http://schemas.microsoft.com/office/drawing/2014/main" id="{6982B2FC-4D40-42DA-B49E-C2DB4FFABE7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t="1" r="11266" b="14274"/>
          <a:stretch/>
        </xdr:blipFill>
        <xdr:spPr>
          <a:xfrm>
            <a:off x="2794775" y="2406159"/>
            <a:ext cx="166212" cy="16057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0</xdr:colOff>
      <xdr:row>15</xdr:row>
      <xdr:rowOff>184484</xdr:rowOff>
    </xdr:from>
    <xdr:to>
      <xdr:col>14</xdr:col>
      <xdr:colOff>1</xdr:colOff>
      <xdr:row>17</xdr:row>
      <xdr:rowOff>184482</xdr:rowOff>
    </xdr:to>
    <xdr:grpSp>
      <xdr:nvGrpSpPr>
        <xdr:cNvPr id="34" name="Group 3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48F81E8-2576-42A4-8C4A-37E51417A2B1}"/>
            </a:ext>
          </a:extLst>
        </xdr:cNvPr>
        <xdr:cNvGrpSpPr/>
      </xdr:nvGrpSpPr>
      <xdr:grpSpPr>
        <a:xfrm>
          <a:off x="1447800" y="2899109"/>
          <a:ext cx="1085851" cy="361948"/>
          <a:chOff x="2773831" y="2398296"/>
          <a:chExt cx="1106906" cy="368967"/>
        </a:xfrm>
      </xdr:grpSpPr>
      <xdr:sp macro="" textlink="">
        <xdr:nvSpPr>
          <xdr:cNvPr id="35" name="AutoShape 1">
            <a:extLst>
              <a:ext uri="{FF2B5EF4-FFF2-40B4-BE49-F238E27FC236}">
                <a16:creationId xmlns:a16="http://schemas.microsoft.com/office/drawing/2014/main" id="{D3B71F62-0950-42ED-8A4A-F8A95700BC58}"/>
              </a:ext>
            </a:extLst>
          </xdr:cNvPr>
          <xdr:cNvSpPr>
            <a:spLocks noChangeArrowheads="1"/>
          </xdr:cNvSpPr>
        </xdr:nvSpPr>
        <xdr:spPr bwMode="auto">
          <a:xfrm>
            <a:off x="2773831" y="2398296"/>
            <a:ext cx="1106906" cy="368967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algn="ctr">
            <a:solidFill>
              <a:srgbClr val="000000"/>
            </a:solidFill>
            <a:round/>
            <a:headEnd/>
            <a:tailEnd/>
          </a:ln>
        </xdr:spPr>
        <xdr:txBody>
          <a:bodyPr vertOverflow="overflow" horzOverflow="overflow" wrap="square" lIns="27432" tIns="22860" rIns="27432" bIns="22860" anchor="ctr" upright="1"/>
          <a:lstStyle/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VIEW</a:t>
            </a:r>
          </a:p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TRAVEL EXP STATEMENT</a:t>
            </a:r>
          </a:p>
        </xdr:txBody>
      </xdr:sp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AD4FA806-80CB-4BF1-AA0A-1F14E894277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t="1" r="11266" b="14274"/>
          <a:stretch/>
        </xdr:blipFill>
        <xdr:spPr>
          <a:xfrm>
            <a:off x="2794775" y="2406159"/>
            <a:ext cx="166212" cy="16057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23</xdr:row>
      <xdr:rowOff>1</xdr:rowOff>
    </xdr:from>
    <xdr:to>
      <xdr:col>32</xdr:col>
      <xdr:colOff>0</xdr:colOff>
      <xdr:row>25</xdr:row>
      <xdr:rowOff>0</xdr:rowOff>
    </xdr:to>
    <xdr:sp macro="" textlink="">
      <xdr:nvSpPr>
        <xdr:cNvPr id="37" name="Rectangle 36" descr="Light horizontal">
          <a:extLst>
            <a:ext uri="{FF2B5EF4-FFF2-40B4-BE49-F238E27FC236}">
              <a16:creationId xmlns:a16="http://schemas.microsoft.com/office/drawing/2014/main" id="{5E5B08E0-D933-46BE-ADB1-B949C2957D42}"/>
            </a:ext>
          </a:extLst>
        </xdr:cNvPr>
        <xdr:cNvSpPr>
          <a:spLocks noChangeArrowheads="1"/>
        </xdr:cNvSpPr>
      </xdr:nvSpPr>
      <xdr:spPr bwMode="auto">
        <a:xfrm>
          <a:off x="0" y="4206241"/>
          <a:ext cx="5559552" cy="365759"/>
        </a:xfrm>
        <a:prstGeom prst="rect">
          <a:avLst/>
        </a:prstGeom>
        <a:pattFill prst="ltHorz">
          <a:fgClr>
            <a:srgbClr val="D9ECFF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45720" tIns="59436" rIns="45720" bIns="59436" anchor="ctr" upright="1"/>
        <a:lstStyle/>
        <a:p>
          <a:pPr algn="ctr" rtl="0">
            <a:defRPr sz="1000"/>
          </a:pPr>
          <a:r>
            <a:rPr lang="en-IN" sz="2600" b="0" i="0" u="none" strike="noStrike" baseline="0">
              <a:solidFill>
                <a:srgbClr val="000000"/>
              </a:solidFill>
              <a:latin typeface="Monotype Corsiva"/>
            </a:rPr>
            <a:t>Error Reports</a:t>
          </a:r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7</xdr:col>
      <xdr:colOff>1</xdr:colOff>
      <xdr:row>27</xdr:row>
      <xdr:rowOff>182878</xdr:rowOff>
    </xdr:to>
    <xdr:grpSp>
      <xdr:nvGrpSpPr>
        <xdr:cNvPr id="21" name="Group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C88588C-5350-43D6-9456-E5DF34FAA6E5}"/>
            </a:ext>
          </a:extLst>
        </xdr:cNvPr>
        <xdr:cNvGrpSpPr/>
      </xdr:nvGrpSpPr>
      <xdr:grpSpPr>
        <a:xfrm>
          <a:off x="180975" y="4705350"/>
          <a:ext cx="1085851" cy="363853"/>
          <a:chOff x="173736" y="4754880"/>
          <a:chExt cx="1042417" cy="365758"/>
        </a:xfrm>
      </xdr:grpSpPr>
      <xdr:sp macro="" textlink="">
        <xdr:nvSpPr>
          <xdr:cNvPr id="39" name="AutoShape 1">
            <a:extLst>
              <a:ext uri="{FF2B5EF4-FFF2-40B4-BE49-F238E27FC236}">
                <a16:creationId xmlns:a16="http://schemas.microsoft.com/office/drawing/2014/main" id="{434F7415-EE4B-45CA-8868-B463CBA8B179}"/>
              </a:ext>
            </a:extLst>
          </xdr:cNvPr>
          <xdr:cNvSpPr>
            <a:spLocks noChangeArrowheads="1"/>
          </xdr:cNvSpPr>
        </xdr:nvSpPr>
        <xdr:spPr bwMode="auto">
          <a:xfrm>
            <a:off x="173736" y="4754880"/>
            <a:ext cx="1042417" cy="36575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algn="ctr">
            <a:solidFill>
              <a:srgbClr val="000000"/>
            </a:solidFill>
            <a:round/>
            <a:headEnd/>
            <a:tailEnd/>
          </a:ln>
        </xdr:spPr>
        <xdr:txBody>
          <a:bodyPr vertOverflow="overflow" horzOverflow="overflow" wrap="square" lIns="27432" tIns="22860" rIns="27432" bIns="22860" anchor="ctr" upright="1"/>
          <a:lstStyle/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INCORRECT</a:t>
            </a:r>
          </a:p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ODOMETER READINGS</a:t>
            </a:r>
          </a:p>
        </xdr:txBody>
      </xdr:sp>
      <xdr:pic>
        <xdr:nvPicPr>
          <xdr:cNvPr id="20" name="Picture 19">
            <a:extLst>
              <a:ext uri="{FF2B5EF4-FFF2-40B4-BE49-F238E27FC236}">
                <a16:creationId xmlns:a16="http://schemas.microsoft.com/office/drawing/2014/main" id="{FA7B6C44-C26E-4D4C-B614-27FD661D9D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2025" y="4754881"/>
            <a:ext cx="205740" cy="20574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0</xdr:colOff>
      <xdr:row>26</xdr:row>
      <xdr:rowOff>0</xdr:rowOff>
    </xdr:from>
    <xdr:to>
      <xdr:col>14</xdr:col>
      <xdr:colOff>1</xdr:colOff>
      <xdr:row>27</xdr:row>
      <xdr:rowOff>182878</xdr:rowOff>
    </xdr:to>
    <xdr:grpSp>
      <xdr:nvGrpSpPr>
        <xdr:cNvPr id="46" name="Group 4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0C568BA-2F7E-4392-A352-B5FD80CFCC80}"/>
            </a:ext>
          </a:extLst>
        </xdr:cNvPr>
        <xdr:cNvGrpSpPr/>
      </xdr:nvGrpSpPr>
      <xdr:grpSpPr>
        <a:xfrm>
          <a:off x="1447800" y="4705350"/>
          <a:ext cx="1085851" cy="363853"/>
          <a:chOff x="173736" y="4754880"/>
          <a:chExt cx="1042417" cy="365758"/>
        </a:xfrm>
      </xdr:grpSpPr>
      <xdr:sp macro="" textlink="">
        <xdr:nvSpPr>
          <xdr:cNvPr id="47" name="AutoShape 1">
            <a:extLst>
              <a:ext uri="{FF2B5EF4-FFF2-40B4-BE49-F238E27FC236}">
                <a16:creationId xmlns:a16="http://schemas.microsoft.com/office/drawing/2014/main" id="{385DC54E-CD34-44BE-85E7-12E0118619B4}"/>
              </a:ext>
            </a:extLst>
          </xdr:cNvPr>
          <xdr:cNvSpPr>
            <a:spLocks noChangeArrowheads="1"/>
          </xdr:cNvSpPr>
        </xdr:nvSpPr>
        <xdr:spPr bwMode="auto">
          <a:xfrm>
            <a:off x="173736" y="4754880"/>
            <a:ext cx="1042417" cy="365758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algn="ctr">
            <a:solidFill>
              <a:srgbClr val="000000"/>
            </a:solidFill>
            <a:round/>
            <a:headEnd/>
            <a:tailEnd/>
          </a:ln>
        </xdr:spPr>
        <xdr:txBody>
          <a:bodyPr vertOverflow="overflow" horzOverflow="overflow" wrap="square" lIns="27432" tIns="22860" rIns="27432" bIns="22860" anchor="ctr" upright="1"/>
          <a:lstStyle/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INCORRECT</a:t>
            </a:r>
          </a:p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END TIME</a:t>
            </a: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92313BFE-9518-42E0-ACFF-39A58EAB63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2025" y="4754881"/>
            <a:ext cx="205740" cy="20574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173630</xdr:colOff>
      <xdr:row>16</xdr:row>
      <xdr:rowOff>3509</xdr:rowOff>
    </xdr:from>
    <xdr:to>
      <xdr:col>21</xdr:col>
      <xdr:colOff>2946</xdr:colOff>
      <xdr:row>18</xdr:row>
      <xdr:rowOff>613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F2FFA9EC-E238-431F-BB35-B1C2641BFBDA}"/>
            </a:ext>
          </a:extLst>
        </xdr:cNvPr>
        <xdr:cNvGrpSpPr/>
      </xdr:nvGrpSpPr>
      <xdr:grpSpPr>
        <a:xfrm>
          <a:off x="2707280" y="2899109"/>
          <a:ext cx="1096141" cy="359054"/>
          <a:chOff x="2605934" y="2929589"/>
          <a:chExt cx="1045468" cy="362864"/>
        </a:xfrm>
      </xdr:grpSpPr>
      <xdr:sp macro="[0]!Split_FilesTE" textlink="">
        <xdr:nvSpPr>
          <xdr:cNvPr id="42" name="AutoShape 1">
            <a:extLst>
              <a:ext uri="{FF2B5EF4-FFF2-40B4-BE49-F238E27FC236}">
                <a16:creationId xmlns:a16="http://schemas.microsoft.com/office/drawing/2014/main" id="{B378998D-F652-4D4E-BD4B-5DAF73A9462B}"/>
              </a:ext>
            </a:extLst>
          </xdr:cNvPr>
          <xdr:cNvSpPr>
            <a:spLocks noChangeArrowheads="1"/>
          </xdr:cNvSpPr>
        </xdr:nvSpPr>
        <xdr:spPr bwMode="auto">
          <a:xfrm>
            <a:off x="2605934" y="2929589"/>
            <a:ext cx="1045468" cy="362864"/>
          </a:xfrm>
          <a:prstGeom prst="rect">
            <a:avLst/>
          </a:prstGeom>
          <a:solidFill>
            <a:schemeClr val="bg1">
              <a:lumMod val="95000"/>
            </a:schemeClr>
          </a:solidFill>
          <a:ln w="9525" algn="ctr">
            <a:solidFill>
              <a:srgbClr val="000000"/>
            </a:solidFill>
            <a:round/>
            <a:headEnd/>
            <a:tailEnd/>
          </a:ln>
        </xdr:spPr>
        <xdr:txBody>
          <a:bodyPr vertOverflow="overflow" horzOverflow="overflow" wrap="square" lIns="27432" tIns="22860" rIns="27432" bIns="22860" anchor="ctr" upright="1"/>
          <a:lstStyle/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GEN.</a:t>
            </a:r>
          </a:p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EXPENSE</a:t>
            </a:r>
          </a:p>
          <a:p>
            <a:pPr algn="ctr" rtl="0">
              <a:defRPr sz="1000"/>
            </a:pPr>
            <a:r>
              <a:rPr lang="en-IN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LOGS</a:t>
            </a:r>
          </a:p>
        </xdr:txBody>
      </xdr:sp>
      <xdr:pic macro="[0]!Split_FilesTE">
        <xdr:nvPicPr>
          <xdr:cNvPr id="24" name="Picture 23">
            <a:extLst>
              <a:ext uri="{FF2B5EF4-FFF2-40B4-BE49-F238E27FC236}">
                <a16:creationId xmlns:a16="http://schemas.microsoft.com/office/drawing/2014/main" id="{7C469C45-731A-4FEA-A438-E9F2F6D6DD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duotone>
              <a:prstClr val="black"/>
              <a:srgbClr val="FF0000">
                <a:tint val="45000"/>
                <a:satMod val="400000"/>
              </a:srgb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28901" y="3003805"/>
            <a:ext cx="228600" cy="2286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310202</xdr:colOff>
      <xdr:row>0</xdr:row>
      <xdr:rowOff>87922</xdr:rowOff>
    </xdr:from>
    <xdr:to>
      <xdr:col>3</xdr:col>
      <xdr:colOff>31233</xdr:colOff>
      <xdr:row>2</xdr:row>
      <xdr:rowOff>58205</xdr:rowOff>
    </xdr:to>
    <xdr:pic macro="[0]!Re_set"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90" t="18059" r="26008" b="6691"/>
        <a:stretch/>
      </xdr:blipFill>
      <xdr:spPr bwMode="auto">
        <a:xfrm>
          <a:off x="4217676" y="87922"/>
          <a:ext cx="288000" cy="2880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125216</xdr:colOff>
      <xdr:row>0</xdr:row>
      <xdr:rowOff>85307</xdr:rowOff>
    </xdr:from>
    <xdr:to>
      <xdr:col>3</xdr:col>
      <xdr:colOff>368398</xdr:colOff>
      <xdr:row>2</xdr:row>
      <xdr:rowOff>55216</xdr:rowOff>
    </xdr:to>
    <xdr:pic macro="[0]!Save_Setting"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94" t="8686" r="12924" b="12105"/>
        <a:stretch/>
      </xdr:blipFill>
      <xdr:spPr>
        <a:xfrm>
          <a:off x="4599659" y="85307"/>
          <a:ext cx="288000" cy="287626"/>
        </a:xfrm>
        <a:prstGeom prst="rect">
          <a:avLst/>
        </a:prstGeom>
      </xdr:spPr>
    </xdr:pic>
    <xdr:clientData/>
  </xdr:twoCellAnchor>
  <xdr:twoCellAnchor editAs="absolute">
    <xdr:from>
      <xdr:col>3</xdr:col>
      <xdr:colOff>430251</xdr:colOff>
      <xdr:row>0</xdr:row>
      <xdr:rowOff>69696</xdr:rowOff>
    </xdr:from>
    <xdr:to>
      <xdr:col>4</xdr:col>
      <xdr:colOff>9589</xdr:colOff>
      <xdr:row>2</xdr:row>
      <xdr:rowOff>75979</xdr:rowOff>
    </xdr:to>
    <xdr:pic>
      <xdr:nvPicPr>
        <xdr:cNvPr id="9" name="Picture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512" y="69696"/>
          <a:ext cx="324000" cy="32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38946</xdr:colOff>
      <xdr:row>1</xdr:row>
      <xdr:rowOff>40359</xdr:rowOff>
    </xdr:from>
    <xdr:to>
      <xdr:col>8</xdr:col>
      <xdr:colOff>393536</xdr:colOff>
      <xdr:row>3</xdr:row>
      <xdr:rowOff>1046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960BEA-C9CC-46C8-B61E-2E31EFF2E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4430" y="262338"/>
          <a:ext cx="354590" cy="3441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22860</xdr:colOff>
      <xdr:row>1</xdr:row>
      <xdr:rowOff>7620</xdr:rowOff>
    </xdr:from>
    <xdr:to>
      <xdr:col>0</xdr:col>
      <xdr:colOff>377450</xdr:colOff>
      <xdr:row>3</xdr:row>
      <xdr:rowOff>9927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4F820-C207-4F99-A879-B557A06B21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175260"/>
          <a:ext cx="354590" cy="33758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171710</xdr:colOff>
      <xdr:row>1</xdr:row>
      <xdr:rowOff>154707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09391B-93BD-4185-A400-046317408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4590" cy="337587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7315</xdr:colOff>
      <xdr:row>1</xdr:row>
      <xdr:rowOff>21946</xdr:rowOff>
    </xdr:from>
    <xdr:to>
      <xdr:col>0</xdr:col>
      <xdr:colOff>361905</xdr:colOff>
      <xdr:row>2</xdr:row>
      <xdr:rowOff>203360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EA090F-809D-48DD-B89C-7B6A8F7B2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" y="321869"/>
          <a:ext cx="354590" cy="3423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7315</xdr:rowOff>
    </xdr:from>
    <xdr:to>
      <xdr:col>0</xdr:col>
      <xdr:colOff>354590</xdr:colOff>
      <xdr:row>2</xdr:row>
      <xdr:rowOff>188729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10772B-1493-47FF-9B6F-F6692D946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0662"/>
          <a:ext cx="354590" cy="34234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2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Employee Code" tableColumnId="1"/>
      <queryTableField id="2" name="Employee Nam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4" xr16:uid="{00000000-0016-0000-0300-000001000000}" autoFormatId="16" applyNumberFormats="0" applyBorderFormats="0" applyFontFormats="0" applyPatternFormats="0" applyAlignmentFormats="0" applyWidthHeightFormats="0">
  <queryTableRefresh nextId="18">
    <queryTableFields count="9">
      <queryTableField id="1" name="Date" tableColumnId="1"/>
      <queryTableField id="2" name="Employee Code" tableColumnId="2"/>
      <queryTableField id="3" name="Employee Name" tableColumnId="3"/>
      <queryTableField id="4" name="Odometer(Self)" tableColumnId="4"/>
      <queryTableField id="5" name="Odometer(Off)" tableColumnId="5"/>
      <queryTableField id="6" name="Fuel In Ltr" tableColumnId="6"/>
      <queryTableField id="7" name="Fuel Amt" tableColumnId="7"/>
      <queryTableField id="8" name="Google KM" tableColumnId="8"/>
      <queryTableField id="17" name="System Calculated Km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00000000-0016-0000-0400-000002000000}" autoFormatId="16" applyNumberFormats="0" applyBorderFormats="0" applyFontFormats="0" applyPatternFormats="0" applyAlignmentFormats="0" applyWidthHeightFormats="0">
  <queryTableRefresh nextId="30">
    <queryTableFields count="21">
      <queryTableField id="1" name="Date" tableColumnId="1"/>
      <queryTableField id="2" name="Employee Code" tableColumnId="2"/>
      <queryTableField id="3" name="Employee Name" tableColumnId="3"/>
      <queryTableField id="4" name="Department" tableColumnId="4"/>
      <queryTableField id="5" name="Designation" tableColumnId="5"/>
      <queryTableField id="6" name="Start Place" tableColumnId="6"/>
      <queryTableField id="7" name="Start Time" tableColumnId="7"/>
      <queryTableField id="8" name="End Place" tableColumnId="8"/>
      <queryTableField id="9" name="End Time" tableColumnId="9"/>
      <queryTableField id="10" name="Mode &amp; Class of Fare" tableColumnId="10"/>
      <queryTableField id="11" name="Lodge Expenses" tableColumnId="11"/>
      <queryTableField id="12" name="Local Conveyance" tableColumnId="12"/>
      <queryTableField id="13" name="Outstation Conveyance" tableColumnId="13"/>
      <queryTableField id="14" name="Incdl Charges" tableColumnId="14"/>
      <queryTableField id="15" name="Communication Expenses" tableColumnId="15"/>
      <queryTableField id="24" name="ZoneAreaHQ" tableColumnId="22"/>
      <queryTableField id="20" name="FromDate" tableColumnId="20"/>
      <queryTableField id="21" name="ToDate" tableColumnId="21"/>
      <queryTableField id="17" name="Dur" tableColumnId="17"/>
      <queryTableField id="27" name="SysGenDA" tableColumnId="18"/>
      <queryTableField id="16" name="Grand Total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0" xr16:uid="{00000000-0016-0000-0600-000003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Employee Code" tableColumnId="2"/>
      <queryTableField id="3" name="Employee Name" tableColumnId="3"/>
      <queryTableField id="4" name="Department" tableColumnId="4"/>
      <queryTableField id="5" name="Designation" tableColumnId="5"/>
      <queryTableField id="6" name="Start Place" tableColumnId="6"/>
      <queryTableField id="7" name="Start Time" tableColumnId="7"/>
      <queryTableField id="8" name="End Place" tableColumnId="8"/>
      <queryTableField id="9" name="End Time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700-00000400000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Employee Code" tableColumnId="2"/>
      <queryTableField id="3" name="Employee Name" tableColumnId="3"/>
      <queryTableField id="4" name="Odometer(Self)" tableColumnId="4"/>
      <queryTableField id="5" name="Odometer(Off)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P" displayName="P" ref="A2:B18" totalsRowShown="0">
  <autoFilter ref="A2:B18" xr:uid="{00000000-0009-0000-0100-000004000000}"/>
  <tableColumns count="2">
    <tableColumn id="1" xr3:uid="{00000000-0010-0000-0000-000001000000}" name="Parameter"/>
    <tableColumn id="2" xr3:uid="{00000000-0010-0000-0000-000002000000}" name="Value"/>
  </tableColumns>
  <tableStyleInfo name="TableStyleQueryPreview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EmpLstTravelExp" displayName="EmpLstTravelExp" ref="A1:B76" tableType="queryTable" totalsRowShown="0">
  <autoFilter ref="A1:B76" xr:uid="{00000000-0009-0000-0100-000001000000}"/>
  <tableColumns count="2">
    <tableColumn id="1" xr3:uid="{00000000-0010-0000-0100-000001000000}" uniqueName="1" name="Employee Code" queryTableFieldId="1" dataDxfId="34"/>
    <tableColumn id="2" xr3:uid="{00000000-0010-0000-0100-000002000000}" uniqueName="2" name="Employee Name" queryTableFieldId="2" dataDxfId="33"/>
  </tableColumns>
  <tableStyleInfo name="TableStyleQueryPreview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VehicleLog" displayName="VehicleLog" ref="A11:I842" tableType="queryTable" totalsRowShown="0">
  <tableColumns count="9">
    <tableColumn id="1" xr3:uid="{00000000-0010-0000-0200-000001000000}" uniqueName="1" name="Date" queryTableFieldId="1" dataDxfId="32"/>
    <tableColumn id="2" xr3:uid="{00000000-0010-0000-0200-000002000000}" uniqueName="2" name="Employee Code" queryTableFieldId="2" dataDxfId="31"/>
    <tableColumn id="3" xr3:uid="{00000000-0010-0000-0200-000003000000}" uniqueName="3" name="Employee Name" queryTableFieldId="3" dataDxfId="30"/>
    <tableColumn id="4" xr3:uid="{00000000-0010-0000-0200-000004000000}" uniqueName="4" name="Odometer(Self)" queryTableFieldId="4" dataDxfId="29"/>
    <tableColumn id="5" xr3:uid="{00000000-0010-0000-0200-000005000000}" uniqueName="5" name="Odometer(Off)" queryTableFieldId="5" dataDxfId="28"/>
    <tableColumn id="6" xr3:uid="{00000000-0010-0000-0200-000006000000}" uniqueName="6" name="Fuel In Ltr" queryTableFieldId="6"/>
    <tableColumn id="7" xr3:uid="{00000000-0010-0000-0200-000007000000}" uniqueName="7" name="Fuel Amt" queryTableFieldId="7"/>
    <tableColumn id="8" xr3:uid="{00000000-0010-0000-0200-000008000000}" uniqueName="8" name="Google KM" queryTableFieldId="8"/>
    <tableColumn id="9" xr3:uid="{00000000-0010-0000-0200-000009000000}" uniqueName="9" name="System Calculated Km" queryTableFieldId="17"/>
  </tableColumns>
  <tableStyleInfo name="TableStyleQueryPreview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ravelExp" displayName="TravelExp" ref="A4:U835" tableType="queryTable" totalsRowShown="0">
  <autoFilter ref="A4:U835" xr:uid="{00000000-0009-0000-0100-000002000000}"/>
  <tableColumns count="21">
    <tableColumn id="1" xr3:uid="{00000000-0010-0000-0300-000001000000}" uniqueName="1" name="Date" queryTableFieldId="1" dataDxfId="27"/>
    <tableColumn id="2" xr3:uid="{00000000-0010-0000-0300-000002000000}" uniqueName="2" name="Employee Code" queryTableFieldId="2" dataDxfId="26"/>
    <tableColumn id="3" xr3:uid="{00000000-0010-0000-0300-000003000000}" uniqueName="3" name="Employee Name" queryTableFieldId="3" dataDxfId="25"/>
    <tableColumn id="4" xr3:uid="{00000000-0010-0000-0300-000004000000}" uniqueName="4" name="Department" queryTableFieldId="4" dataDxfId="24"/>
    <tableColumn id="5" xr3:uid="{00000000-0010-0000-0300-000005000000}" uniqueName="5" name="Designation" queryTableFieldId="5" dataDxfId="23"/>
    <tableColumn id="6" xr3:uid="{00000000-0010-0000-0300-000006000000}" uniqueName="6" name="Start Place" queryTableFieldId="6" dataDxfId="22"/>
    <tableColumn id="7" xr3:uid="{00000000-0010-0000-0300-000007000000}" uniqueName="7" name="Start Time" queryTableFieldId="7" dataDxfId="21"/>
    <tableColumn id="8" xr3:uid="{00000000-0010-0000-0300-000008000000}" uniqueName="8" name="End Place" queryTableFieldId="8" dataDxfId="20"/>
    <tableColumn id="9" xr3:uid="{00000000-0010-0000-0300-000009000000}" uniqueName="9" name="End Time" queryTableFieldId="9" dataDxfId="19"/>
    <tableColumn id="10" xr3:uid="{00000000-0010-0000-0300-00000A000000}" uniqueName="10" name="Mode &amp; Class of Fare" queryTableFieldId="10"/>
    <tableColumn id="11" xr3:uid="{00000000-0010-0000-0300-00000B000000}" uniqueName="11" name="Lodge Expenses" queryTableFieldId="11"/>
    <tableColumn id="12" xr3:uid="{00000000-0010-0000-0300-00000C000000}" uniqueName="12" name="Local Conveyance" queryTableFieldId="12"/>
    <tableColumn id="13" xr3:uid="{00000000-0010-0000-0300-00000D000000}" uniqueName="13" name="Outstation Conveyance" queryTableFieldId="13"/>
    <tableColumn id="14" xr3:uid="{00000000-0010-0000-0300-00000E000000}" uniqueName="14" name="Incdl Charges" queryTableFieldId="14"/>
    <tableColumn id="15" xr3:uid="{00000000-0010-0000-0300-00000F000000}" uniqueName="15" name="Communication Expenses" queryTableFieldId="15"/>
    <tableColumn id="22" xr3:uid="{00000000-0010-0000-0300-000016000000}" uniqueName="22" name="ZoneAreaHQ" queryTableFieldId="24" dataDxfId="18"/>
    <tableColumn id="20" xr3:uid="{00000000-0010-0000-0300-000014000000}" uniqueName="20" name="FromDate" queryTableFieldId="20" dataDxfId="17"/>
    <tableColumn id="21" xr3:uid="{00000000-0010-0000-0300-000015000000}" uniqueName="21" name="ToDate" queryTableFieldId="21" dataDxfId="16"/>
    <tableColumn id="17" xr3:uid="{00000000-0010-0000-0300-000011000000}" uniqueName="17" name="Dur" queryTableFieldId="17" dataDxfId="15"/>
    <tableColumn id="18" xr3:uid="{00000000-0010-0000-0300-000012000000}" uniqueName="18" name="SysGenDA" queryTableFieldId="27"/>
    <tableColumn id="16" xr3:uid="{00000000-0010-0000-0300-000010000000}" uniqueName="16" name="Grand Total" queryTableFieldId="16"/>
  </tableColumns>
  <tableStyleInfo name="TableStyleQueryPreview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04000000}" name="NegTimeErrs" displayName="NegTimeErrs" ref="A4:I60" tableType="queryTable" totalsRowShown="0">
  <autoFilter ref="A4:I60" xr:uid="{00000000-0009-0000-0100-00003D000000}"/>
  <tableColumns count="9">
    <tableColumn id="1" xr3:uid="{00000000-0010-0000-0400-000001000000}" uniqueName="1" name="Date" queryTableFieldId="1" dataDxfId="13"/>
    <tableColumn id="2" xr3:uid="{00000000-0010-0000-0400-000002000000}" uniqueName="2" name="Employee Code" queryTableFieldId="2" dataDxfId="12"/>
    <tableColumn id="3" xr3:uid="{00000000-0010-0000-0400-000003000000}" uniqueName="3" name="Employee Name" queryTableFieldId="3" dataDxfId="11"/>
    <tableColumn id="4" xr3:uid="{00000000-0010-0000-0400-000004000000}" uniqueName="4" name="Department" queryTableFieldId="4" dataDxfId="10"/>
    <tableColumn id="5" xr3:uid="{00000000-0010-0000-0400-000005000000}" uniqueName="5" name="Designation" queryTableFieldId="5" dataDxfId="9"/>
    <tableColumn id="6" xr3:uid="{00000000-0010-0000-0400-000006000000}" uniqueName="6" name="Start Place" queryTableFieldId="6" dataDxfId="8"/>
    <tableColumn id="7" xr3:uid="{00000000-0010-0000-0400-000007000000}" uniqueName="7" name="Start Time" queryTableFieldId="7" dataDxfId="7"/>
    <tableColumn id="8" xr3:uid="{00000000-0010-0000-0400-000008000000}" uniqueName="8" name="End Place" queryTableFieldId="8" dataDxfId="6"/>
    <tableColumn id="9" xr3:uid="{00000000-0010-0000-0400-000009000000}" uniqueName="9" name="End Time" queryTableFieldId="9" dataDxfId="5"/>
  </tableColumns>
  <tableStyleInfo name="TableStyleQueryPreview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05000000}" name="OdometerErrs" displayName="OdometerErrs" ref="A4:E30" tableType="queryTable" totalsRowShown="0">
  <autoFilter ref="A4:E30" xr:uid="{00000000-0009-0000-0100-00003C000000}"/>
  <tableColumns count="5">
    <tableColumn id="1" xr3:uid="{00000000-0010-0000-0500-000001000000}" uniqueName="1" name="Date" queryTableFieldId="1" dataDxfId="4"/>
    <tableColumn id="2" xr3:uid="{00000000-0010-0000-0500-000002000000}" uniqueName="2" name="Employee Code" queryTableFieldId="2" dataDxfId="3"/>
    <tableColumn id="3" xr3:uid="{00000000-0010-0000-0500-000003000000}" uniqueName="3" name="Employee Name" queryTableFieldId="3" dataDxfId="2"/>
    <tableColumn id="4" xr3:uid="{00000000-0010-0000-0500-000004000000}" uniqueName="4" name="Odometer(Self)" queryTableFieldId="4" dataDxfId="1"/>
    <tableColumn id="5" xr3:uid="{00000000-0010-0000-0500-000005000000}" uniqueName="5" name="Odometer(Off)" queryTableFieldId="5" dataDxfId="0"/>
  </tableColumns>
  <tableStyleInfo name="TableStyleQueryPreview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1"/>
  <dimension ref="A1:AF50"/>
  <sheetViews>
    <sheetView showRowColHeaders="0" zoomScale="160" zoomScaleNormal="160" workbookViewId="0"/>
  </sheetViews>
  <sheetFormatPr defaultColWidth="0" defaultRowHeight="14.7" customHeight="1" zeroHeight="1"/>
  <cols>
    <col min="1" max="32" width="2.6640625" style="2" customWidth="1"/>
    <col min="33" max="16384" width="0" style="2" hidden="1"/>
  </cols>
  <sheetData>
    <row r="1" spans="1:32" ht="14.7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34" t="s">
        <v>242</v>
      </c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</row>
    <row r="2" spans="1:32" ht="14.7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</row>
    <row r="3" spans="1:32" ht="14.7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ht="14.7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4.7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14.7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14.7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ht="14.7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14.7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4.7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14.7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ht="14.7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4.7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14.7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 ht="14.7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 ht="14.7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ht="14.7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ht="14.7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ht="14.7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ht="14.7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ht="14.7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ht="14.7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ht="14.7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ht="14.7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ht="14.7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ht="14.7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ht="14.7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ht="14.7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ht="14.7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ht="14.7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14.7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ht="14.7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ht="14.7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ht="14.7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ht="14.7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  <row r="36" spans="1:32" ht="14.7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ht="14.7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ht="14.7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</row>
    <row r="39" spans="1:32" ht="14.7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</row>
    <row r="40" spans="1:32" ht="14.7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</row>
    <row r="41" spans="1:32" ht="14.7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</row>
    <row r="42" spans="1:32" ht="14.7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</row>
    <row r="43" spans="1:32" ht="14.7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</row>
    <row r="44" spans="1:32" ht="14.7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</row>
    <row r="45" spans="1:32" ht="14.7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</row>
    <row r="46" spans="1:32" ht="14.7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</row>
    <row r="47" spans="1:32" ht="14.7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</row>
    <row r="48" spans="1:32" ht="14.7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</row>
    <row r="49" spans="1:32" ht="14.7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</row>
    <row r="50" spans="1:32" ht="14.7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</row>
  </sheetData>
  <mergeCells count="1">
    <mergeCell ref="U1:AF2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2"/>
  <dimension ref="A1:D97"/>
  <sheetViews>
    <sheetView showGridLines="0" tabSelected="1" zoomScale="175" zoomScaleNormal="175" workbookViewId="0"/>
  </sheetViews>
  <sheetFormatPr defaultRowHeight="13.2"/>
  <cols>
    <col min="1" max="1" width="26.44140625" bestFit="1" customWidth="1"/>
    <col min="2" max="2" width="29.44140625" customWidth="1"/>
    <col min="3" max="3" width="8.5546875" customWidth="1"/>
    <col min="4" max="4" width="11.33203125" customWidth="1"/>
    <col min="5" max="5" width="9.33203125" customWidth="1"/>
    <col min="7" max="7" width="14.109375" bestFit="1" customWidth="1"/>
    <col min="8" max="8" width="28" bestFit="1" customWidth="1"/>
    <col min="9" max="9" width="22.44140625" bestFit="1" customWidth="1"/>
    <col min="10" max="10" width="10.6640625" bestFit="1" customWidth="1"/>
    <col min="11" max="11" width="23" bestFit="1" customWidth="1"/>
    <col min="12" max="12" width="13.88671875" bestFit="1" customWidth="1"/>
    <col min="15" max="16" width="11.109375" customWidth="1"/>
    <col min="17" max="17" width="15.33203125" customWidth="1"/>
    <col min="18" max="21" width="9.109375" customWidth="1"/>
    <col min="22" max="22" width="25.109375" customWidth="1"/>
  </cols>
  <sheetData>
    <row r="1" spans="1:2">
      <c r="A1" s="3" t="s">
        <v>5</v>
      </c>
      <c r="B1" s="3"/>
    </row>
    <row r="2" spans="1:2">
      <c r="A2" t="s">
        <v>2</v>
      </c>
      <c r="B2" t="s">
        <v>3</v>
      </c>
    </row>
    <row r="3" spans="1:2">
      <c r="A3" t="s">
        <v>114</v>
      </c>
      <c r="B3" t="s">
        <v>1622</v>
      </c>
    </row>
    <row r="4" spans="1:2">
      <c r="A4" t="s">
        <v>113</v>
      </c>
      <c r="B4" t="s">
        <v>1621</v>
      </c>
    </row>
    <row r="5" spans="1:2">
      <c r="A5" t="s">
        <v>128</v>
      </c>
      <c r="B5" t="s">
        <v>1625</v>
      </c>
    </row>
    <row r="6" spans="1:2">
      <c r="A6" t="s">
        <v>117</v>
      </c>
      <c r="B6" t="s">
        <v>12</v>
      </c>
    </row>
    <row r="7" spans="1:2" hidden="1">
      <c r="A7" t="s">
        <v>118</v>
      </c>
      <c r="B7" t="s">
        <v>11</v>
      </c>
    </row>
    <row r="8" spans="1:2" hidden="1">
      <c r="A8" t="s">
        <v>119</v>
      </c>
      <c r="B8" t="s">
        <v>11</v>
      </c>
    </row>
    <row r="9" spans="1:2" hidden="1">
      <c r="A9" t="s">
        <v>120</v>
      </c>
      <c r="B9">
        <f t="array" ref="B9">SUMPRODUCT(IFERROR(MATCH(TRANSPOSE(cLstNm),fltCrtVL,0),0))</f>
        <v>0</v>
      </c>
    </row>
    <row r="10" spans="1:2">
      <c r="A10" t="s">
        <v>1</v>
      </c>
      <c r="B10" t="s">
        <v>251</v>
      </c>
    </row>
    <row r="11" spans="1:2">
      <c r="A11" t="s">
        <v>115</v>
      </c>
      <c r="B11" t="s">
        <v>1623</v>
      </c>
    </row>
    <row r="12" spans="1:2">
      <c r="A12" t="s">
        <v>116</v>
      </c>
      <c r="B12" t="s">
        <v>1624</v>
      </c>
    </row>
    <row r="13" spans="1:2" hidden="1">
      <c r="A13" t="s">
        <v>4</v>
      </c>
      <c r="B13" t="s">
        <v>43</v>
      </c>
    </row>
    <row r="14" spans="1:2" hidden="1">
      <c r="A14" t="s">
        <v>111</v>
      </c>
      <c r="B14" t="s">
        <v>112</v>
      </c>
    </row>
    <row r="15" spans="1:2" hidden="1">
      <c r="A15" t="s">
        <v>8</v>
      </c>
      <c r="B15" t="s">
        <v>9</v>
      </c>
    </row>
    <row r="16" spans="1:2" hidden="1">
      <c r="A16" t="s">
        <v>44</v>
      </c>
    </row>
    <row r="17" spans="1:4">
      <c r="A17" t="s">
        <v>6</v>
      </c>
      <c r="B17" t="s">
        <v>0</v>
      </c>
    </row>
    <row r="18" spans="1:4">
      <c r="A18" t="s">
        <v>7</v>
      </c>
      <c r="B18" t="s">
        <v>0</v>
      </c>
    </row>
    <row r="22" spans="1:4">
      <c r="A22" t="s">
        <v>12</v>
      </c>
      <c r="B22" t="s">
        <v>13</v>
      </c>
      <c r="D22" t="s">
        <v>12</v>
      </c>
    </row>
    <row r="23" spans="1:4">
      <c r="A23" t="s">
        <v>84</v>
      </c>
      <c r="B23" t="s">
        <v>85</v>
      </c>
      <c r="D23" s="5" t="s">
        <v>1620</v>
      </c>
    </row>
    <row r="24" spans="1:4">
      <c r="A24" t="s">
        <v>260</v>
      </c>
      <c r="B24" t="s">
        <v>261</v>
      </c>
    </row>
    <row r="25" spans="1:4">
      <c r="A25" t="s">
        <v>53</v>
      </c>
      <c r="B25" t="s">
        <v>54</v>
      </c>
    </row>
    <row r="26" spans="1:4">
      <c r="A26" t="s">
        <v>283</v>
      </c>
      <c r="B26" t="s">
        <v>284</v>
      </c>
    </row>
    <row r="27" spans="1:4">
      <c r="A27" t="s">
        <v>293</v>
      </c>
      <c r="B27" t="s">
        <v>294</v>
      </c>
    </row>
    <row r="28" spans="1:4">
      <c r="A28" t="s">
        <v>302</v>
      </c>
      <c r="B28" t="s">
        <v>303</v>
      </c>
    </row>
    <row r="29" spans="1:4">
      <c r="A29" t="s">
        <v>29</v>
      </c>
      <c r="B29" t="s">
        <v>30</v>
      </c>
    </row>
    <row r="30" spans="1:4">
      <c r="A30" t="s">
        <v>35</v>
      </c>
      <c r="B30" t="s">
        <v>36</v>
      </c>
    </row>
    <row r="31" spans="1:4">
      <c r="A31" t="s">
        <v>52</v>
      </c>
      <c r="B31" t="s">
        <v>327</v>
      </c>
    </row>
    <row r="32" spans="1:4">
      <c r="A32" t="s">
        <v>340</v>
      </c>
      <c r="B32" t="s">
        <v>341</v>
      </c>
    </row>
    <row r="33" spans="1:2">
      <c r="A33" t="s">
        <v>55</v>
      </c>
      <c r="B33" t="s">
        <v>56</v>
      </c>
    </row>
    <row r="34" spans="1:2">
      <c r="A34" t="s">
        <v>367</v>
      </c>
      <c r="B34" t="s">
        <v>368</v>
      </c>
    </row>
    <row r="35" spans="1:2">
      <c r="A35" t="s">
        <v>375</v>
      </c>
      <c r="B35" t="s">
        <v>376</v>
      </c>
    </row>
    <row r="36" spans="1:2">
      <c r="A36" t="s">
        <v>390</v>
      </c>
      <c r="B36" t="s">
        <v>391</v>
      </c>
    </row>
    <row r="37" spans="1:2">
      <c r="A37" t="s">
        <v>31</v>
      </c>
      <c r="B37" t="s">
        <v>32</v>
      </c>
    </row>
    <row r="38" spans="1:2">
      <c r="A38" t="s">
        <v>25</v>
      </c>
      <c r="B38" t="s">
        <v>26</v>
      </c>
    </row>
    <row r="39" spans="1:2">
      <c r="A39" t="s">
        <v>57</v>
      </c>
      <c r="B39" t="s">
        <v>58</v>
      </c>
    </row>
    <row r="40" spans="1:2">
      <c r="A40" t="s">
        <v>96</v>
      </c>
      <c r="B40" t="s">
        <v>97</v>
      </c>
    </row>
    <row r="41" spans="1:2">
      <c r="A41" t="s">
        <v>86</v>
      </c>
      <c r="B41" t="s">
        <v>87</v>
      </c>
    </row>
    <row r="42" spans="1:2">
      <c r="A42" t="s">
        <v>74</v>
      </c>
      <c r="B42" t="s">
        <v>75</v>
      </c>
    </row>
    <row r="43" spans="1:2">
      <c r="A43" t="s">
        <v>59</v>
      </c>
      <c r="B43" t="s">
        <v>60</v>
      </c>
    </row>
    <row r="44" spans="1:2">
      <c r="A44" t="s">
        <v>458</v>
      </c>
      <c r="B44" t="s">
        <v>459</v>
      </c>
    </row>
    <row r="45" spans="1:2">
      <c r="A45" t="s">
        <v>474</v>
      </c>
      <c r="B45" t="s">
        <v>475</v>
      </c>
    </row>
    <row r="46" spans="1:2">
      <c r="A46" t="s">
        <v>47</v>
      </c>
      <c r="B46" t="s">
        <v>48</v>
      </c>
    </row>
    <row r="47" spans="1:2">
      <c r="A47" t="s">
        <v>490</v>
      </c>
      <c r="B47" t="s">
        <v>491</v>
      </c>
    </row>
    <row r="48" spans="1:2">
      <c r="A48" t="s">
        <v>502</v>
      </c>
      <c r="B48" t="s">
        <v>503</v>
      </c>
    </row>
    <row r="49" spans="1:2">
      <c r="A49" t="s">
        <v>88</v>
      </c>
      <c r="B49" t="s">
        <v>89</v>
      </c>
    </row>
    <row r="50" spans="1:2">
      <c r="A50" t="s">
        <v>61</v>
      </c>
      <c r="B50" t="s">
        <v>62</v>
      </c>
    </row>
    <row r="51" spans="1:2">
      <c r="A51" t="s">
        <v>541</v>
      </c>
      <c r="B51" t="s">
        <v>542</v>
      </c>
    </row>
    <row r="52" spans="1:2">
      <c r="A52" t="s">
        <v>546</v>
      </c>
      <c r="B52" t="s">
        <v>547</v>
      </c>
    </row>
    <row r="53" spans="1:2">
      <c r="A53" t="s">
        <v>49</v>
      </c>
      <c r="B53" t="s">
        <v>50</v>
      </c>
    </row>
    <row r="54" spans="1:2">
      <c r="A54" t="s">
        <v>63</v>
      </c>
      <c r="B54" t="s">
        <v>64</v>
      </c>
    </row>
    <row r="55" spans="1:2">
      <c r="A55" t="s">
        <v>584</v>
      </c>
      <c r="B55" t="s">
        <v>585</v>
      </c>
    </row>
    <row r="56" spans="1:2">
      <c r="A56" t="s">
        <v>596</v>
      </c>
      <c r="B56" t="s">
        <v>597</v>
      </c>
    </row>
    <row r="57" spans="1:2">
      <c r="A57" t="s">
        <v>51</v>
      </c>
      <c r="B57" t="s">
        <v>611</v>
      </c>
    </row>
    <row r="58" spans="1:2">
      <c r="A58" t="s">
        <v>621</v>
      </c>
      <c r="B58" t="s">
        <v>65</v>
      </c>
    </row>
    <row r="59" spans="1:2">
      <c r="A59" t="s">
        <v>78</v>
      </c>
      <c r="B59" t="s">
        <v>79</v>
      </c>
    </row>
    <row r="60" spans="1:2">
      <c r="A60" t="s">
        <v>98</v>
      </c>
      <c r="B60" t="s">
        <v>99</v>
      </c>
    </row>
    <row r="61" spans="1:2">
      <c r="A61" t="s">
        <v>100</v>
      </c>
      <c r="B61" t="s">
        <v>101</v>
      </c>
    </row>
    <row r="62" spans="1:2">
      <c r="A62" t="s">
        <v>654</v>
      </c>
      <c r="B62" t="s">
        <v>655</v>
      </c>
    </row>
    <row r="63" spans="1:2">
      <c r="A63" t="s">
        <v>21</v>
      </c>
      <c r="B63" t="s">
        <v>22</v>
      </c>
    </row>
    <row r="64" spans="1:2">
      <c r="A64" t="s">
        <v>683</v>
      </c>
      <c r="B64" t="s">
        <v>684</v>
      </c>
    </row>
    <row r="65" spans="1:2">
      <c r="A65" t="s">
        <v>696</v>
      </c>
      <c r="B65" t="s">
        <v>697</v>
      </c>
    </row>
    <row r="66" spans="1:2">
      <c r="A66" t="s">
        <v>27</v>
      </c>
      <c r="B66" t="s">
        <v>28</v>
      </c>
    </row>
    <row r="67" spans="1:2">
      <c r="A67" t="s">
        <v>90</v>
      </c>
      <c r="B67" t="s">
        <v>91</v>
      </c>
    </row>
    <row r="68" spans="1:2">
      <c r="A68" t="s">
        <v>33</v>
      </c>
      <c r="B68" t="s">
        <v>34</v>
      </c>
    </row>
    <row r="69" spans="1:2">
      <c r="A69" t="s">
        <v>729</v>
      </c>
      <c r="B69" t="s">
        <v>730</v>
      </c>
    </row>
    <row r="70" spans="1:2">
      <c r="A70" t="s">
        <v>92</v>
      </c>
      <c r="B70" t="s">
        <v>93</v>
      </c>
    </row>
    <row r="71" spans="1:2">
      <c r="A71" t="s">
        <v>757</v>
      </c>
      <c r="B71" t="s">
        <v>758</v>
      </c>
    </row>
    <row r="72" spans="1:2">
      <c r="A72" t="s">
        <v>768</v>
      </c>
      <c r="B72" t="s">
        <v>769</v>
      </c>
    </row>
    <row r="73" spans="1:2">
      <c r="A73" t="s">
        <v>773</v>
      </c>
      <c r="B73" t="s">
        <v>774</v>
      </c>
    </row>
    <row r="74" spans="1:2">
      <c r="A74" t="s">
        <v>80</v>
      </c>
      <c r="B74" t="s">
        <v>81</v>
      </c>
    </row>
    <row r="75" spans="1:2">
      <c r="A75" t="s">
        <v>23</v>
      </c>
      <c r="B75" t="s">
        <v>24</v>
      </c>
    </row>
    <row r="76" spans="1:2">
      <c r="A76" t="s">
        <v>66</v>
      </c>
      <c r="B76" t="s">
        <v>67</v>
      </c>
    </row>
    <row r="77" spans="1:2">
      <c r="A77" t="s">
        <v>68</v>
      </c>
      <c r="B77" t="s">
        <v>69</v>
      </c>
    </row>
    <row r="78" spans="1:2">
      <c r="A78" t="s">
        <v>70</v>
      </c>
      <c r="B78" t="s">
        <v>71</v>
      </c>
    </row>
    <row r="79" spans="1:2">
      <c r="A79" t="s">
        <v>82</v>
      </c>
      <c r="B79" t="s">
        <v>83</v>
      </c>
    </row>
    <row r="80" spans="1:2">
      <c r="A80" t="s">
        <v>837</v>
      </c>
      <c r="B80" t="s">
        <v>838</v>
      </c>
    </row>
    <row r="81" spans="1:2">
      <c r="A81" t="s">
        <v>244</v>
      </c>
      <c r="B81" t="s">
        <v>245</v>
      </c>
    </row>
    <row r="82" spans="1:2">
      <c r="A82" t="s">
        <v>845</v>
      </c>
      <c r="B82" t="s">
        <v>846</v>
      </c>
    </row>
    <row r="83" spans="1:2">
      <c r="A83" t="s">
        <v>858</v>
      </c>
      <c r="B83" t="s">
        <v>859</v>
      </c>
    </row>
    <row r="84" spans="1:2">
      <c r="A84" t="s">
        <v>72</v>
      </c>
      <c r="B84" t="s">
        <v>73</v>
      </c>
    </row>
    <row r="85" spans="1:2">
      <c r="A85" t="s">
        <v>885</v>
      </c>
      <c r="B85" t="s">
        <v>886</v>
      </c>
    </row>
    <row r="86" spans="1:2">
      <c r="A86" t="s">
        <v>892</v>
      </c>
      <c r="B86" t="s">
        <v>893</v>
      </c>
    </row>
    <row r="87" spans="1:2">
      <c r="A87" t="s">
        <v>37</v>
      </c>
      <c r="B87" t="s">
        <v>38</v>
      </c>
    </row>
    <row r="88" spans="1:2">
      <c r="A88" t="s">
        <v>920</v>
      </c>
      <c r="B88" t="s">
        <v>921</v>
      </c>
    </row>
    <row r="89" spans="1:2">
      <c r="A89" t="s">
        <v>76</v>
      </c>
      <c r="B89" t="s">
        <v>77</v>
      </c>
    </row>
    <row r="90" spans="1:2">
      <c r="A90" t="s">
        <v>941</v>
      </c>
      <c r="B90" t="s">
        <v>942</v>
      </c>
    </row>
    <row r="91" spans="1:2">
      <c r="A91" t="s">
        <v>953</v>
      </c>
      <c r="B91" t="s">
        <v>954</v>
      </c>
    </row>
    <row r="92" spans="1:2">
      <c r="A92" t="s">
        <v>955</v>
      </c>
      <c r="B92" t="s">
        <v>956</v>
      </c>
    </row>
    <row r="93" spans="1:2">
      <c r="A93" t="s">
        <v>971</v>
      </c>
      <c r="B93" t="s">
        <v>972</v>
      </c>
    </row>
    <row r="94" spans="1:2">
      <c r="A94" t="s">
        <v>980</v>
      </c>
      <c r="B94" t="s">
        <v>981</v>
      </c>
    </row>
    <row r="95" spans="1:2">
      <c r="A95" t="s">
        <v>94</v>
      </c>
      <c r="B95" t="s">
        <v>95</v>
      </c>
    </row>
    <row r="96" spans="1:2">
      <c r="A96" t="s">
        <v>45</v>
      </c>
      <c r="B96" t="s">
        <v>46</v>
      </c>
    </row>
    <row r="97" spans="1:2">
      <c r="A97" t="s">
        <v>1003</v>
      </c>
      <c r="B97" t="s">
        <v>1004</v>
      </c>
    </row>
  </sheetData>
  <dataValidations count="5">
    <dataValidation type="list" allowBlank="1" showInputMessage="1" showErrorMessage="1" sqref="B17:B18 B7:B8" xr:uid="{00000000-0002-0000-0100-000000000000}">
      <formula1>"YES,NO"</formula1>
    </dataValidation>
    <dataValidation type="list" allowBlank="1" showInputMessage="1" showErrorMessage="1" sqref="B13" xr:uid="{00000000-0002-0000-0100-000001000000}">
      <formula1>".xls,.xlsx,.xlsm,.xlsb,.csv,.pdf"</formula1>
    </dataValidation>
    <dataValidation type="list" allowBlank="1" showInputMessage="1" showErrorMessage="1" sqref="B15" xr:uid="{00000000-0002-0000-0100-000002000000}">
      <formula1>"Potrait,Landscape"</formula1>
    </dataValidation>
    <dataValidation type="list" allowBlank="1" showInputMessage="1" showErrorMessage="1" sqref="B14" xr:uid="{00000000-0002-0000-0100-000003000000}">
      <formula1>"Move,Copy"</formula1>
    </dataValidation>
    <dataValidation type="list" allowBlank="1" showInputMessage="1" showErrorMessage="1" sqref="B6" xr:uid="{00000000-0002-0000-0100-000004000000}">
      <formula1>DataVLH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05"/>
  <dimension ref="A1:B76"/>
  <sheetViews>
    <sheetView showGridLines="0" workbookViewId="0">
      <selection sqref="A1:B76"/>
    </sheetView>
  </sheetViews>
  <sheetFormatPr defaultRowHeight="13.2"/>
  <cols>
    <col min="1" max="1" width="17.6640625" bestFit="1" customWidth="1"/>
    <col min="2" max="2" width="31.88671875" bestFit="1" customWidth="1"/>
  </cols>
  <sheetData>
    <row r="1" spans="1:2">
      <c r="A1" t="s">
        <v>12</v>
      </c>
      <c r="B1" t="s">
        <v>13</v>
      </c>
    </row>
    <row r="2" spans="1:2">
      <c r="A2" t="s">
        <v>260</v>
      </c>
      <c r="B2" t="s">
        <v>261</v>
      </c>
    </row>
    <row r="3" spans="1:2">
      <c r="A3" t="s">
        <v>283</v>
      </c>
      <c r="B3" t="s">
        <v>284</v>
      </c>
    </row>
    <row r="4" spans="1:2">
      <c r="A4" t="s">
        <v>293</v>
      </c>
      <c r="B4" t="s">
        <v>294</v>
      </c>
    </row>
    <row r="5" spans="1:2">
      <c r="A5" t="s">
        <v>29</v>
      </c>
      <c r="B5" t="s">
        <v>30</v>
      </c>
    </row>
    <row r="6" spans="1:2">
      <c r="A6" t="s">
        <v>35</v>
      </c>
      <c r="B6" t="s">
        <v>36</v>
      </c>
    </row>
    <row r="7" spans="1:2">
      <c r="A7" t="s">
        <v>52</v>
      </c>
      <c r="B7" t="s">
        <v>327</v>
      </c>
    </row>
    <row r="8" spans="1:2">
      <c r="A8" t="s">
        <v>340</v>
      </c>
      <c r="B8" t="s">
        <v>341</v>
      </c>
    </row>
    <row r="9" spans="1:2">
      <c r="A9" t="s">
        <v>55</v>
      </c>
      <c r="B9" t="s">
        <v>56</v>
      </c>
    </row>
    <row r="10" spans="1:2">
      <c r="A10" t="s">
        <v>367</v>
      </c>
      <c r="B10" t="s">
        <v>368</v>
      </c>
    </row>
    <row r="11" spans="1:2">
      <c r="A11" t="s">
        <v>375</v>
      </c>
      <c r="B11" t="s">
        <v>376</v>
      </c>
    </row>
    <row r="12" spans="1:2">
      <c r="A12" t="s">
        <v>31</v>
      </c>
      <c r="B12" t="s">
        <v>32</v>
      </c>
    </row>
    <row r="13" spans="1:2">
      <c r="A13" t="s">
        <v>25</v>
      </c>
      <c r="B13" t="s">
        <v>26</v>
      </c>
    </row>
    <row r="14" spans="1:2">
      <c r="A14" t="s">
        <v>57</v>
      </c>
      <c r="B14" t="s">
        <v>58</v>
      </c>
    </row>
    <row r="15" spans="1:2">
      <c r="A15" t="s">
        <v>96</v>
      </c>
      <c r="B15" t="s">
        <v>97</v>
      </c>
    </row>
    <row r="16" spans="1:2">
      <c r="A16" t="s">
        <v>74</v>
      </c>
      <c r="B16" t="s">
        <v>75</v>
      </c>
    </row>
    <row r="17" spans="1:2">
      <c r="A17" t="s">
        <v>59</v>
      </c>
      <c r="B17" t="s">
        <v>60</v>
      </c>
    </row>
    <row r="18" spans="1:2">
      <c r="A18" t="s">
        <v>458</v>
      </c>
      <c r="B18" t="s">
        <v>459</v>
      </c>
    </row>
    <row r="19" spans="1:2">
      <c r="A19" t="s">
        <v>474</v>
      </c>
      <c r="B19" t="s">
        <v>475</v>
      </c>
    </row>
    <row r="20" spans="1:2">
      <c r="A20" t="s">
        <v>490</v>
      </c>
      <c r="B20" t="s">
        <v>491</v>
      </c>
    </row>
    <row r="21" spans="1:2">
      <c r="A21" t="s">
        <v>502</v>
      </c>
      <c r="B21" t="s">
        <v>503</v>
      </c>
    </row>
    <row r="22" spans="1:2">
      <c r="A22" t="s">
        <v>88</v>
      </c>
      <c r="B22" t="s">
        <v>89</v>
      </c>
    </row>
    <row r="23" spans="1:2">
      <c r="A23" t="s">
        <v>61</v>
      </c>
      <c r="B23" t="s">
        <v>62</v>
      </c>
    </row>
    <row r="24" spans="1:2">
      <c r="A24" t="s">
        <v>541</v>
      </c>
      <c r="B24" t="s">
        <v>542</v>
      </c>
    </row>
    <row r="25" spans="1:2">
      <c r="A25" t="s">
        <v>546</v>
      </c>
      <c r="B25" t="s">
        <v>547</v>
      </c>
    </row>
    <row r="26" spans="1:2">
      <c r="A26" t="s">
        <v>49</v>
      </c>
      <c r="B26" t="s">
        <v>50</v>
      </c>
    </row>
    <row r="27" spans="1:2">
      <c r="A27" t="s">
        <v>63</v>
      </c>
      <c r="B27" t="s">
        <v>64</v>
      </c>
    </row>
    <row r="28" spans="1:2">
      <c r="A28" t="s">
        <v>584</v>
      </c>
      <c r="B28" t="s">
        <v>585</v>
      </c>
    </row>
    <row r="29" spans="1:2">
      <c r="A29" t="s">
        <v>596</v>
      </c>
      <c r="B29" t="s">
        <v>597</v>
      </c>
    </row>
    <row r="30" spans="1:2">
      <c r="A30" t="s">
        <v>51</v>
      </c>
      <c r="B30" t="s">
        <v>611</v>
      </c>
    </row>
    <row r="31" spans="1:2">
      <c r="A31" t="s">
        <v>621</v>
      </c>
      <c r="B31" t="s">
        <v>65</v>
      </c>
    </row>
    <row r="32" spans="1:2">
      <c r="A32" t="s">
        <v>78</v>
      </c>
      <c r="B32" t="s">
        <v>79</v>
      </c>
    </row>
    <row r="33" spans="1:2">
      <c r="A33" t="s">
        <v>98</v>
      </c>
      <c r="B33" t="s">
        <v>99</v>
      </c>
    </row>
    <row r="34" spans="1:2">
      <c r="A34" t="s">
        <v>100</v>
      </c>
      <c r="B34" t="s">
        <v>101</v>
      </c>
    </row>
    <row r="35" spans="1:2">
      <c r="A35" t="s">
        <v>654</v>
      </c>
      <c r="B35" t="s">
        <v>655</v>
      </c>
    </row>
    <row r="36" spans="1:2">
      <c r="A36" t="s">
        <v>21</v>
      </c>
      <c r="B36" t="s">
        <v>22</v>
      </c>
    </row>
    <row r="37" spans="1:2">
      <c r="A37" t="s">
        <v>683</v>
      </c>
      <c r="B37" t="s">
        <v>684</v>
      </c>
    </row>
    <row r="38" spans="1:2">
      <c r="A38" t="s">
        <v>696</v>
      </c>
      <c r="B38" t="s">
        <v>697</v>
      </c>
    </row>
    <row r="39" spans="1:2">
      <c r="A39" t="s">
        <v>27</v>
      </c>
      <c r="B39" t="s">
        <v>28</v>
      </c>
    </row>
    <row r="40" spans="1:2">
      <c r="A40" t="s">
        <v>90</v>
      </c>
      <c r="B40" t="s">
        <v>91</v>
      </c>
    </row>
    <row r="41" spans="1:2">
      <c r="A41" t="s">
        <v>33</v>
      </c>
      <c r="B41" t="s">
        <v>34</v>
      </c>
    </row>
    <row r="42" spans="1:2">
      <c r="A42" t="s">
        <v>729</v>
      </c>
      <c r="B42" t="s">
        <v>730</v>
      </c>
    </row>
    <row r="43" spans="1:2">
      <c r="A43" t="s">
        <v>92</v>
      </c>
      <c r="B43" t="s">
        <v>93</v>
      </c>
    </row>
    <row r="44" spans="1:2">
      <c r="A44" t="s">
        <v>757</v>
      </c>
      <c r="B44" t="s">
        <v>758</v>
      </c>
    </row>
    <row r="45" spans="1:2">
      <c r="A45" t="s">
        <v>773</v>
      </c>
      <c r="B45" t="s">
        <v>774</v>
      </c>
    </row>
    <row r="46" spans="1:2">
      <c r="A46" t="s">
        <v>23</v>
      </c>
      <c r="B46" t="s">
        <v>24</v>
      </c>
    </row>
    <row r="47" spans="1:2">
      <c r="A47" t="s">
        <v>66</v>
      </c>
      <c r="B47" t="s">
        <v>67</v>
      </c>
    </row>
    <row r="48" spans="1:2">
      <c r="A48" t="s">
        <v>68</v>
      </c>
      <c r="B48" t="s">
        <v>69</v>
      </c>
    </row>
    <row r="49" spans="1:2">
      <c r="A49" t="s">
        <v>70</v>
      </c>
      <c r="B49" t="s">
        <v>71</v>
      </c>
    </row>
    <row r="50" spans="1:2">
      <c r="A50" t="s">
        <v>82</v>
      </c>
      <c r="B50" t="s">
        <v>83</v>
      </c>
    </row>
    <row r="51" spans="1:2">
      <c r="A51" t="s">
        <v>837</v>
      </c>
      <c r="B51" t="s">
        <v>838</v>
      </c>
    </row>
    <row r="52" spans="1:2">
      <c r="A52" t="s">
        <v>244</v>
      </c>
      <c r="B52" t="s">
        <v>245</v>
      </c>
    </row>
    <row r="53" spans="1:2">
      <c r="A53" t="s">
        <v>845</v>
      </c>
      <c r="B53" t="s">
        <v>846</v>
      </c>
    </row>
    <row r="54" spans="1:2">
      <c r="A54" t="s">
        <v>858</v>
      </c>
      <c r="B54" t="s">
        <v>859</v>
      </c>
    </row>
    <row r="55" spans="1:2">
      <c r="A55" t="s">
        <v>72</v>
      </c>
      <c r="B55" t="s">
        <v>73</v>
      </c>
    </row>
    <row r="56" spans="1:2">
      <c r="A56" t="s">
        <v>892</v>
      </c>
      <c r="B56" t="s">
        <v>893</v>
      </c>
    </row>
    <row r="57" spans="1:2">
      <c r="A57" t="s">
        <v>37</v>
      </c>
      <c r="B57" t="s">
        <v>38</v>
      </c>
    </row>
    <row r="58" spans="1:2">
      <c r="A58" t="s">
        <v>920</v>
      </c>
      <c r="B58" t="s">
        <v>921</v>
      </c>
    </row>
    <row r="59" spans="1:2">
      <c r="A59" t="s">
        <v>76</v>
      </c>
      <c r="B59" t="s">
        <v>77</v>
      </c>
    </row>
    <row r="60" spans="1:2">
      <c r="A60" t="s">
        <v>941</v>
      </c>
      <c r="B60" t="s">
        <v>942</v>
      </c>
    </row>
    <row r="61" spans="1:2">
      <c r="A61" t="s">
        <v>953</v>
      </c>
      <c r="B61" t="s">
        <v>954</v>
      </c>
    </row>
    <row r="62" spans="1:2">
      <c r="A62" t="s">
        <v>955</v>
      </c>
      <c r="B62" t="s">
        <v>956</v>
      </c>
    </row>
    <row r="63" spans="1:2">
      <c r="A63" t="s">
        <v>971</v>
      </c>
      <c r="B63" t="s">
        <v>972</v>
      </c>
    </row>
    <row r="64" spans="1:2">
      <c r="A64" t="s">
        <v>94</v>
      </c>
      <c r="B64" t="s">
        <v>95</v>
      </c>
    </row>
    <row r="65" spans="1:2">
      <c r="A65" t="s">
        <v>1003</v>
      </c>
      <c r="B65" t="s">
        <v>1004</v>
      </c>
    </row>
    <row r="66" spans="1:2">
      <c r="A66" t="s">
        <v>768</v>
      </c>
      <c r="B66" t="s">
        <v>769</v>
      </c>
    </row>
    <row r="67" spans="1:2">
      <c r="A67" t="s">
        <v>45</v>
      </c>
      <c r="B67" t="s">
        <v>46</v>
      </c>
    </row>
    <row r="68" spans="1:2">
      <c r="A68" t="s">
        <v>53</v>
      </c>
      <c r="B68" t="s">
        <v>54</v>
      </c>
    </row>
    <row r="69" spans="1:2">
      <c r="A69" t="s">
        <v>84</v>
      </c>
      <c r="B69" t="s">
        <v>85</v>
      </c>
    </row>
    <row r="70" spans="1:2">
      <c r="A70" t="s">
        <v>980</v>
      </c>
      <c r="B70" t="s">
        <v>981</v>
      </c>
    </row>
    <row r="71" spans="1:2">
      <c r="A71" t="s">
        <v>86</v>
      </c>
      <c r="B71" t="s">
        <v>87</v>
      </c>
    </row>
    <row r="72" spans="1:2">
      <c r="A72" t="s">
        <v>80</v>
      </c>
      <c r="B72" t="s">
        <v>81</v>
      </c>
    </row>
    <row r="73" spans="1:2">
      <c r="A73" t="s">
        <v>47</v>
      </c>
      <c r="B73" t="s">
        <v>48</v>
      </c>
    </row>
    <row r="74" spans="1:2">
      <c r="A74" t="s">
        <v>302</v>
      </c>
      <c r="B74" t="s">
        <v>303</v>
      </c>
    </row>
    <row r="75" spans="1:2">
      <c r="A75" t="s">
        <v>390</v>
      </c>
      <c r="B75" t="s">
        <v>391</v>
      </c>
    </row>
    <row r="76" spans="1:2">
      <c r="A76" t="s">
        <v>885</v>
      </c>
      <c r="B76" t="s">
        <v>886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03"/>
  <dimension ref="A1:J842"/>
  <sheetViews>
    <sheetView showGridLines="0" zoomScale="115" zoomScaleNormal="115" workbookViewId="0">
      <selection activeCell="A11" sqref="A11:I842"/>
    </sheetView>
  </sheetViews>
  <sheetFormatPr defaultRowHeight="13.2"/>
  <cols>
    <col min="1" max="1" width="15.6640625" customWidth="1"/>
    <col min="2" max="2" width="15.44140625" customWidth="1"/>
    <col min="3" max="3" width="31.88671875" customWidth="1"/>
    <col min="4" max="4" width="14.88671875" customWidth="1"/>
    <col min="5" max="5" width="21" customWidth="1"/>
    <col min="6" max="6" width="10.33203125" customWidth="1"/>
    <col min="7" max="7" width="9.109375" customWidth="1"/>
    <col min="8" max="8" width="11" customWidth="1"/>
    <col min="9" max="9" width="21.88671875" customWidth="1"/>
    <col min="10" max="10" width="13.33203125" customWidth="1"/>
    <col min="11" max="11" width="15.6640625" bestFit="1" customWidth="1"/>
  </cols>
  <sheetData>
    <row r="1" spans="1:10" ht="17.25" customHeight="1">
      <c r="A1" s="27" t="s">
        <v>102</v>
      </c>
      <c r="B1" s="27"/>
      <c r="C1" s="27"/>
      <c r="D1" s="27"/>
      <c r="E1" s="27"/>
      <c r="F1" s="27"/>
      <c r="G1" s="27"/>
      <c r="H1" s="27"/>
      <c r="I1" s="27"/>
      <c r="J1" s="27"/>
    </row>
    <row r="2" spans="1:10" ht="15" customHeight="1">
      <c r="A2" s="4" t="s">
        <v>103</v>
      </c>
      <c r="B2" s="4"/>
      <c r="C2" s="4"/>
      <c r="D2" s="4"/>
      <c r="E2" s="4"/>
      <c r="F2" s="4"/>
      <c r="G2" s="4"/>
      <c r="H2" s="4"/>
      <c r="I2" s="4"/>
      <c r="J2" s="4"/>
    </row>
    <row r="3" spans="1:10" ht="15" customHeight="1">
      <c r="A3" s="10" t="s">
        <v>110</v>
      </c>
      <c r="B3" s="13"/>
      <c r="C3" s="14" t="s">
        <v>121</v>
      </c>
      <c r="D3" s="4"/>
      <c r="E3" s="4"/>
      <c r="F3" s="4"/>
      <c r="G3" s="4"/>
      <c r="H3" s="4"/>
      <c r="I3" s="4"/>
      <c r="J3" s="4"/>
    </row>
    <row r="4" spans="1:10" ht="15" customHeight="1">
      <c r="A4" s="11" t="s">
        <v>104</v>
      </c>
      <c r="B4" s="15"/>
      <c r="C4" s="32">
        <f>SUBTOTAL(9,F:F)</f>
        <v>129235.05999999995</v>
      </c>
      <c r="D4" s="4"/>
      <c r="E4" s="4"/>
      <c r="F4" s="4"/>
      <c r="G4" s="4"/>
      <c r="H4" s="4"/>
      <c r="I4" s="4"/>
      <c r="J4" s="4"/>
    </row>
    <row r="5" spans="1:10" ht="15" customHeight="1">
      <c r="A5" s="11" t="s">
        <v>108</v>
      </c>
      <c r="B5" s="15"/>
      <c r="C5" s="32">
        <f>SUBTOTAL(9,G:G)</f>
        <v>199310.85</v>
      </c>
      <c r="D5" s="4"/>
      <c r="E5" s="4"/>
      <c r="F5" s="4"/>
      <c r="G5" s="4"/>
      <c r="H5" s="4"/>
      <c r="I5" s="4"/>
      <c r="J5" s="4"/>
    </row>
    <row r="6" spans="1:10" ht="15" customHeight="1">
      <c r="A6" s="11" t="s">
        <v>105</v>
      </c>
      <c r="B6" s="15"/>
      <c r="C6" s="32">
        <f>SUBTOTAL(9,I:I)</f>
        <v>302230</v>
      </c>
      <c r="D6" s="4"/>
      <c r="E6" s="4"/>
      <c r="F6" s="4"/>
      <c r="G6" s="4"/>
      <c r="H6" s="4"/>
      <c r="I6" s="4"/>
      <c r="J6" s="4"/>
    </row>
    <row r="7" spans="1:10" ht="15" customHeight="1">
      <c r="A7" s="11" t="s">
        <v>106</v>
      </c>
      <c r="B7" s="15"/>
      <c r="C7" s="32">
        <f>SUBTOTAL(9,H:H)</f>
        <v>42713.899999999994</v>
      </c>
      <c r="D7" s="4"/>
      <c r="E7" s="4"/>
      <c r="F7" s="4"/>
      <c r="G7" s="4"/>
      <c r="H7" s="4"/>
      <c r="I7" s="4"/>
      <c r="J7" s="4"/>
    </row>
    <row r="8" spans="1:10" ht="15" customHeight="1">
      <c r="A8" s="11" t="s">
        <v>107</v>
      </c>
      <c r="B8" s="15"/>
      <c r="C8" s="33">
        <f>IFERROR(C6/C4,"-")</f>
        <v>2.3386068764931136</v>
      </c>
      <c r="D8" s="4"/>
      <c r="E8" s="4"/>
      <c r="F8" s="4"/>
      <c r="G8" s="4"/>
      <c r="H8" s="4"/>
      <c r="I8" s="4"/>
      <c r="J8" s="4"/>
    </row>
    <row r="9" spans="1:10" ht="15" customHeight="1">
      <c r="A9" s="12" t="s">
        <v>109</v>
      </c>
      <c r="B9" s="16"/>
      <c r="C9" s="31">
        <f>IFERROR(C5/C6,"-")</f>
        <v>0.65946745855805189</v>
      </c>
      <c r="D9" s="4"/>
      <c r="E9" s="4"/>
      <c r="F9" s="8"/>
      <c r="G9" s="8"/>
      <c r="H9" s="8"/>
      <c r="I9" s="8"/>
      <c r="J9" s="8"/>
    </row>
    <row r="10" spans="1:10" ht="15" customHeight="1">
      <c r="C10" s="9"/>
      <c r="D10" s="4"/>
      <c r="E10" s="4"/>
      <c r="F10" s="8"/>
      <c r="G10" s="8"/>
      <c r="H10" s="8"/>
      <c r="I10" s="8"/>
      <c r="J10" s="8"/>
    </row>
    <row r="11" spans="1:10">
      <c r="A11" t="s">
        <v>10</v>
      </c>
      <c r="B11" t="s">
        <v>12</v>
      </c>
      <c r="C11" t="s">
        <v>13</v>
      </c>
      <c r="D11" t="s">
        <v>16</v>
      </c>
      <c r="E11" t="s">
        <v>17</v>
      </c>
      <c r="F11" t="s">
        <v>18</v>
      </c>
      <c r="G11" t="s">
        <v>19</v>
      </c>
      <c r="H11" t="s">
        <v>20</v>
      </c>
      <c r="I11" t="s">
        <v>170</v>
      </c>
    </row>
    <row r="12" spans="1:10">
      <c r="A12" s="6">
        <v>44837</v>
      </c>
      <c r="B12" t="s">
        <v>84</v>
      </c>
      <c r="C12" t="s">
        <v>85</v>
      </c>
      <c r="F12">
        <v>0</v>
      </c>
      <c r="G12">
        <v>0</v>
      </c>
      <c r="H12">
        <v>65.8</v>
      </c>
      <c r="I12">
        <v>0</v>
      </c>
    </row>
    <row r="13" spans="1:10">
      <c r="A13" s="6">
        <v>44838</v>
      </c>
      <c r="B13" t="s">
        <v>84</v>
      </c>
      <c r="C13" t="s">
        <v>85</v>
      </c>
      <c r="E13" t="s">
        <v>252</v>
      </c>
      <c r="F13">
        <v>5.98</v>
      </c>
      <c r="G13">
        <v>610</v>
      </c>
      <c r="H13">
        <v>0</v>
      </c>
      <c r="I13">
        <v>12</v>
      </c>
    </row>
    <row r="14" spans="1:10">
      <c r="A14" s="6">
        <v>44839</v>
      </c>
      <c r="B14" t="s">
        <v>84</v>
      </c>
      <c r="C14" t="s">
        <v>85</v>
      </c>
      <c r="E14" t="s">
        <v>253</v>
      </c>
      <c r="F14">
        <v>0</v>
      </c>
      <c r="G14">
        <v>0</v>
      </c>
      <c r="H14">
        <v>1.3</v>
      </c>
      <c r="I14">
        <v>0</v>
      </c>
    </row>
    <row r="15" spans="1:10">
      <c r="A15" s="6">
        <v>44840</v>
      </c>
      <c r="B15" t="s">
        <v>84</v>
      </c>
      <c r="C15" t="s">
        <v>85</v>
      </c>
      <c r="E15" t="s">
        <v>254</v>
      </c>
      <c r="F15">
        <v>0</v>
      </c>
      <c r="G15">
        <v>0</v>
      </c>
      <c r="H15">
        <v>66.3</v>
      </c>
      <c r="I15">
        <v>100</v>
      </c>
    </row>
    <row r="16" spans="1:10">
      <c r="A16" s="6">
        <v>44841</v>
      </c>
      <c r="B16" t="s">
        <v>84</v>
      </c>
      <c r="C16" t="s">
        <v>85</v>
      </c>
      <c r="E16" t="s">
        <v>255</v>
      </c>
      <c r="F16">
        <v>7.95</v>
      </c>
      <c r="G16">
        <v>810</v>
      </c>
      <c r="H16">
        <v>205.4</v>
      </c>
      <c r="I16">
        <v>206</v>
      </c>
    </row>
    <row r="17" spans="1:9">
      <c r="A17" s="6">
        <v>44842</v>
      </c>
      <c r="B17" t="s">
        <v>84</v>
      </c>
      <c r="C17" t="s">
        <v>85</v>
      </c>
      <c r="F17">
        <v>0</v>
      </c>
      <c r="G17">
        <v>0</v>
      </c>
      <c r="H17">
        <v>43.8</v>
      </c>
      <c r="I17">
        <v>0</v>
      </c>
    </row>
    <row r="18" spans="1:9">
      <c r="A18" s="6">
        <v>44844</v>
      </c>
      <c r="B18" t="s">
        <v>84</v>
      </c>
      <c r="C18" t="s">
        <v>85</v>
      </c>
      <c r="E18" t="s">
        <v>256</v>
      </c>
      <c r="F18">
        <v>5</v>
      </c>
      <c r="G18">
        <v>510</v>
      </c>
      <c r="H18">
        <v>147.30000000000001</v>
      </c>
      <c r="I18">
        <v>57</v>
      </c>
    </row>
    <row r="19" spans="1:9">
      <c r="A19" s="6">
        <v>44845</v>
      </c>
      <c r="B19" t="s">
        <v>84</v>
      </c>
      <c r="C19" t="s">
        <v>85</v>
      </c>
      <c r="E19" t="s">
        <v>257</v>
      </c>
      <c r="F19">
        <v>0</v>
      </c>
      <c r="G19">
        <v>0</v>
      </c>
      <c r="H19">
        <v>0</v>
      </c>
      <c r="I19">
        <v>98</v>
      </c>
    </row>
    <row r="20" spans="1:9">
      <c r="A20" s="6">
        <v>44846</v>
      </c>
      <c r="B20" t="s">
        <v>84</v>
      </c>
      <c r="C20" t="s">
        <v>85</v>
      </c>
      <c r="F20">
        <v>0</v>
      </c>
      <c r="G20">
        <v>0</v>
      </c>
      <c r="H20">
        <v>0</v>
      </c>
      <c r="I20">
        <v>0</v>
      </c>
    </row>
    <row r="21" spans="1:9">
      <c r="A21" s="6">
        <v>44847</v>
      </c>
      <c r="B21" t="s">
        <v>84</v>
      </c>
      <c r="C21" t="s">
        <v>85</v>
      </c>
      <c r="E21" t="s">
        <v>258</v>
      </c>
      <c r="F21">
        <v>5.0199999999999996</v>
      </c>
      <c r="G21">
        <v>510</v>
      </c>
      <c r="H21">
        <v>213.4</v>
      </c>
      <c r="I21">
        <v>241</v>
      </c>
    </row>
    <row r="22" spans="1:9">
      <c r="A22" s="6">
        <v>44848</v>
      </c>
      <c r="B22" t="s">
        <v>84</v>
      </c>
      <c r="C22" t="s">
        <v>85</v>
      </c>
      <c r="E22" t="s">
        <v>259</v>
      </c>
      <c r="F22">
        <v>8.0299999999999994</v>
      </c>
      <c r="G22">
        <v>820</v>
      </c>
      <c r="H22">
        <v>205.9</v>
      </c>
      <c r="I22">
        <v>207</v>
      </c>
    </row>
    <row r="23" spans="1:9">
      <c r="A23" s="6">
        <v>44835</v>
      </c>
      <c r="B23" t="s">
        <v>260</v>
      </c>
      <c r="C23" t="s">
        <v>261</v>
      </c>
      <c r="E23" t="s">
        <v>262</v>
      </c>
      <c r="F23">
        <v>0</v>
      </c>
      <c r="G23">
        <v>0</v>
      </c>
      <c r="H23">
        <v>2.6</v>
      </c>
      <c r="I23">
        <v>166</v>
      </c>
    </row>
    <row r="24" spans="1:9">
      <c r="A24" s="6">
        <v>44836</v>
      </c>
      <c r="B24" t="s">
        <v>260</v>
      </c>
      <c r="C24" t="s">
        <v>261</v>
      </c>
      <c r="E24" t="s">
        <v>263</v>
      </c>
      <c r="F24">
        <v>6.37</v>
      </c>
      <c r="G24">
        <v>700</v>
      </c>
      <c r="H24">
        <v>137.5</v>
      </c>
      <c r="I24">
        <v>138</v>
      </c>
    </row>
    <row r="25" spans="1:9">
      <c r="A25" s="6">
        <v>44838</v>
      </c>
      <c r="B25" t="s">
        <v>260</v>
      </c>
      <c r="C25" t="s">
        <v>261</v>
      </c>
      <c r="E25" t="s">
        <v>264</v>
      </c>
      <c r="F25">
        <v>0</v>
      </c>
      <c r="G25">
        <v>0</v>
      </c>
      <c r="H25">
        <v>62.2</v>
      </c>
      <c r="I25">
        <v>66</v>
      </c>
    </row>
    <row r="26" spans="1:9">
      <c r="A26" s="6">
        <v>44840</v>
      </c>
      <c r="B26" t="s">
        <v>260</v>
      </c>
      <c r="C26" t="s">
        <v>261</v>
      </c>
      <c r="E26" t="s">
        <v>265</v>
      </c>
      <c r="F26">
        <v>0</v>
      </c>
      <c r="G26">
        <v>0</v>
      </c>
      <c r="H26">
        <v>40.5</v>
      </c>
      <c r="I26">
        <v>44</v>
      </c>
    </row>
    <row r="27" spans="1:9">
      <c r="A27" s="6">
        <v>44841</v>
      </c>
      <c r="B27" t="s">
        <v>260</v>
      </c>
      <c r="C27" t="s">
        <v>261</v>
      </c>
      <c r="E27" t="s">
        <v>266</v>
      </c>
      <c r="F27">
        <v>0</v>
      </c>
      <c r="G27">
        <v>0</v>
      </c>
      <c r="H27">
        <v>62.3</v>
      </c>
      <c r="I27">
        <v>70</v>
      </c>
    </row>
    <row r="28" spans="1:9">
      <c r="A28" s="6">
        <v>44842</v>
      </c>
      <c r="B28" t="s">
        <v>260</v>
      </c>
      <c r="C28" t="s">
        <v>261</v>
      </c>
      <c r="E28" t="s">
        <v>267</v>
      </c>
      <c r="F28">
        <v>4.55</v>
      </c>
      <c r="G28">
        <v>500</v>
      </c>
      <c r="H28">
        <v>70.5</v>
      </c>
      <c r="I28">
        <v>80</v>
      </c>
    </row>
    <row r="29" spans="1:9">
      <c r="A29" s="6">
        <v>44844</v>
      </c>
      <c r="B29" t="s">
        <v>260</v>
      </c>
      <c r="C29" t="s">
        <v>261</v>
      </c>
      <c r="E29" t="s">
        <v>268</v>
      </c>
      <c r="F29">
        <v>4.8499999999999996</v>
      </c>
      <c r="G29">
        <v>500</v>
      </c>
      <c r="H29">
        <v>62.3</v>
      </c>
      <c r="I29">
        <v>176</v>
      </c>
    </row>
    <row r="30" spans="1:9">
      <c r="A30" s="6">
        <v>44845</v>
      </c>
      <c r="B30" t="s">
        <v>260</v>
      </c>
      <c r="C30" t="s">
        <v>261</v>
      </c>
      <c r="E30" t="s">
        <v>269</v>
      </c>
      <c r="F30">
        <v>10.92</v>
      </c>
      <c r="G30">
        <v>600</v>
      </c>
      <c r="H30">
        <v>31.9</v>
      </c>
      <c r="I30">
        <v>48</v>
      </c>
    </row>
    <row r="31" spans="1:9">
      <c r="A31" s="6">
        <v>44846</v>
      </c>
      <c r="B31" t="s">
        <v>260</v>
      </c>
      <c r="C31" t="s">
        <v>261</v>
      </c>
      <c r="E31" t="s">
        <v>270</v>
      </c>
      <c r="F31">
        <v>0</v>
      </c>
      <c r="G31">
        <v>0</v>
      </c>
      <c r="H31">
        <v>41.5</v>
      </c>
      <c r="I31">
        <v>45</v>
      </c>
    </row>
    <row r="32" spans="1:9">
      <c r="A32" s="6">
        <v>44847</v>
      </c>
      <c r="B32" t="s">
        <v>260</v>
      </c>
      <c r="C32" t="s">
        <v>261</v>
      </c>
      <c r="E32" t="s">
        <v>271</v>
      </c>
      <c r="F32">
        <v>0</v>
      </c>
      <c r="G32">
        <v>0</v>
      </c>
      <c r="H32">
        <v>86.5</v>
      </c>
      <c r="I32">
        <v>137</v>
      </c>
    </row>
    <row r="33" spans="1:9">
      <c r="A33" s="6">
        <v>44848</v>
      </c>
      <c r="B33" t="s">
        <v>260</v>
      </c>
      <c r="C33" t="s">
        <v>261</v>
      </c>
      <c r="E33" t="s">
        <v>272</v>
      </c>
      <c r="F33">
        <v>0</v>
      </c>
      <c r="G33">
        <v>0</v>
      </c>
      <c r="H33">
        <v>1.8</v>
      </c>
      <c r="I33">
        <v>77</v>
      </c>
    </row>
    <row r="34" spans="1:9">
      <c r="A34" s="6">
        <v>44849</v>
      </c>
      <c r="B34" t="s">
        <v>260</v>
      </c>
      <c r="C34" t="s">
        <v>261</v>
      </c>
      <c r="E34" t="s">
        <v>273</v>
      </c>
      <c r="F34">
        <v>5.98</v>
      </c>
      <c r="G34">
        <v>650</v>
      </c>
      <c r="H34">
        <v>0.2</v>
      </c>
      <c r="I34">
        <v>26</v>
      </c>
    </row>
    <row r="35" spans="1:9">
      <c r="A35" s="6">
        <v>44837</v>
      </c>
      <c r="B35" t="s">
        <v>53</v>
      </c>
      <c r="C35" t="s">
        <v>54</v>
      </c>
      <c r="F35">
        <v>0</v>
      </c>
      <c r="G35">
        <v>0</v>
      </c>
      <c r="H35">
        <v>0.7</v>
      </c>
      <c r="I35">
        <v>0</v>
      </c>
    </row>
    <row r="36" spans="1:9">
      <c r="A36" s="6">
        <v>44838</v>
      </c>
      <c r="B36" t="s">
        <v>53</v>
      </c>
      <c r="C36" t="s">
        <v>54</v>
      </c>
      <c r="E36" t="s">
        <v>274</v>
      </c>
      <c r="F36">
        <v>1.87</v>
      </c>
      <c r="G36">
        <v>200</v>
      </c>
      <c r="H36">
        <v>153.4</v>
      </c>
      <c r="I36">
        <v>51</v>
      </c>
    </row>
    <row r="37" spans="1:9">
      <c r="A37" s="6">
        <v>44840</v>
      </c>
      <c r="B37" t="s">
        <v>53</v>
      </c>
      <c r="C37" t="s">
        <v>54</v>
      </c>
      <c r="E37" t="s">
        <v>275</v>
      </c>
      <c r="F37">
        <v>0</v>
      </c>
      <c r="G37">
        <v>0</v>
      </c>
      <c r="H37">
        <v>0.6</v>
      </c>
      <c r="I37">
        <v>12</v>
      </c>
    </row>
    <row r="38" spans="1:9">
      <c r="A38" s="6">
        <v>44841</v>
      </c>
      <c r="B38" t="s">
        <v>53</v>
      </c>
      <c r="C38" t="s">
        <v>54</v>
      </c>
      <c r="E38" t="s">
        <v>276</v>
      </c>
      <c r="F38">
        <v>0</v>
      </c>
      <c r="G38">
        <v>0</v>
      </c>
      <c r="H38">
        <v>0.9</v>
      </c>
      <c r="I38">
        <v>61</v>
      </c>
    </row>
    <row r="39" spans="1:9">
      <c r="A39" s="6">
        <v>44842</v>
      </c>
      <c r="B39" t="s">
        <v>53</v>
      </c>
      <c r="C39" t="s">
        <v>54</v>
      </c>
      <c r="E39" t="s">
        <v>277</v>
      </c>
      <c r="F39">
        <v>2.81</v>
      </c>
      <c r="G39">
        <v>300</v>
      </c>
      <c r="H39">
        <v>27.3</v>
      </c>
      <c r="I39">
        <v>89</v>
      </c>
    </row>
    <row r="40" spans="1:9">
      <c r="A40" s="6">
        <v>44844</v>
      </c>
      <c r="B40" t="s">
        <v>53</v>
      </c>
      <c r="C40" t="s">
        <v>54</v>
      </c>
      <c r="E40" t="s">
        <v>278</v>
      </c>
      <c r="F40">
        <v>4.68</v>
      </c>
      <c r="G40">
        <v>500</v>
      </c>
      <c r="H40">
        <v>58.2</v>
      </c>
      <c r="I40">
        <v>102</v>
      </c>
    </row>
    <row r="41" spans="1:9">
      <c r="A41" s="6">
        <v>44845</v>
      </c>
      <c r="B41" t="s">
        <v>53</v>
      </c>
      <c r="C41" t="s">
        <v>54</v>
      </c>
      <c r="E41" t="s">
        <v>279</v>
      </c>
      <c r="F41">
        <v>0</v>
      </c>
      <c r="G41">
        <v>0</v>
      </c>
      <c r="H41">
        <v>135.69999999999999</v>
      </c>
      <c r="I41">
        <v>120</v>
      </c>
    </row>
    <row r="42" spans="1:9">
      <c r="A42" s="6">
        <v>44846</v>
      </c>
      <c r="B42" t="s">
        <v>53</v>
      </c>
      <c r="C42" t="s">
        <v>54</v>
      </c>
      <c r="E42" t="s">
        <v>280</v>
      </c>
      <c r="F42">
        <v>0</v>
      </c>
      <c r="G42">
        <v>0</v>
      </c>
      <c r="H42">
        <v>45.1</v>
      </c>
      <c r="I42">
        <v>0</v>
      </c>
    </row>
    <row r="43" spans="1:9">
      <c r="A43" s="6">
        <v>44847</v>
      </c>
      <c r="B43" t="s">
        <v>53</v>
      </c>
      <c r="C43" t="s">
        <v>54</v>
      </c>
      <c r="F43">
        <v>0</v>
      </c>
      <c r="G43">
        <v>0</v>
      </c>
      <c r="H43">
        <v>0.6</v>
      </c>
      <c r="I43">
        <v>0</v>
      </c>
    </row>
    <row r="44" spans="1:9">
      <c r="A44" s="6">
        <v>44848</v>
      </c>
      <c r="B44" t="s">
        <v>53</v>
      </c>
      <c r="C44" t="s">
        <v>54</v>
      </c>
      <c r="E44" t="s">
        <v>281</v>
      </c>
      <c r="F44">
        <v>4.6900000000000004</v>
      </c>
      <c r="G44">
        <v>500</v>
      </c>
      <c r="H44">
        <v>128</v>
      </c>
      <c r="I44">
        <v>134</v>
      </c>
    </row>
    <row r="45" spans="1:9">
      <c r="A45" s="6">
        <v>44849</v>
      </c>
      <c r="B45" t="s">
        <v>53</v>
      </c>
      <c r="C45" t="s">
        <v>54</v>
      </c>
      <c r="E45" t="s">
        <v>282</v>
      </c>
      <c r="F45">
        <v>0</v>
      </c>
      <c r="G45">
        <v>0</v>
      </c>
      <c r="H45">
        <v>21.2</v>
      </c>
      <c r="I45">
        <v>22</v>
      </c>
    </row>
    <row r="46" spans="1:9">
      <c r="A46" s="6">
        <v>44835</v>
      </c>
      <c r="B46" t="s">
        <v>283</v>
      </c>
      <c r="C46" t="s">
        <v>284</v>
      </c>
      <c r="E46" t="s">
        <v>285</v>
      </c>
      <c r="F46">
        <v>4.9000000000000004</v>
      </c>
      <c r="G46">
        <v>500</v>
      </c>
      <c r="H46">
        <v>212.1</v>
      </c>
      <c r="I46">
        <v>232</v>
      </c>
    </row>
    <row r="47" spans="1:9">
      <c r="A47" s="6">
        <v>44837</v>
      </c>
      <c r="B47" t="s">
        <v>283</v>
      </c>
      <c r="C47" t="s">
        <v>284</v>
      </c>
      <c r="E47" t="s">
        <v>286</v>
      </c>
      <c r="F47">
        <v>0</v>
      </c>
      <c r="G47">
        <v>0</v>
      </c>
      <c r="H47">
        <v>46.4</v>
      </c>
      <c r="I47">
        <v>18</v>
      </c>
    </row>
    <row r="48" spans="1:9">
      <c r="A48" s="6">
        <v>44838</v>
      </c>
      <c r="B48" t="s">
        <v>283</v>
      </c>
      <c r="C48" t="s">
        <v>284</v>
      </c>
      <c r="F48">
        <v>0</v>
      </c>
      <c r="G48">
        <v>0</v>
      </c>
      <c r="H48">
        <v>84.8</v>
      </c>
      <c r="I48">
        <v>0</v>
      </c>
    </row>
    <row r="49" spans="1:9">
      <c r="A49" s="6">
        <v>44841</v>
      </c>
      <c r="B49" t="s">
        <v>283</v>
      </c>
      <c r="C49" t="s">
        <v>284</v>
      </c>
      <c r="F49">
        <v>0</v>
      </c>
      <c r="G49">
        <v>0</v>
      </c>
      <c r="H49">
        <v>16.2</v>
      </c>
      <c r="I49">
        <v>0</v>
      </c>
    </row>
    <row r="50" spans="1:9">
      <c r="A50" s="6">
        <v>44842</v>
      </c>
      <c r="B50" t="s">
        <v>283</v>
      </c>
      <c r="C50" t="s">
        <v>284</v>
      </c>
      <c r="F50">
        <v>0</v>
      </c>
      <c r="G50">
        <v>0</v>
      </c>
      <c r="H50">
        <v>50.6</v>
      </c>
      <c r="I50">
        <v>0</v>
      </c>
    </row>
    <row r="51" spans="1:9">
      <c r="A51" s="6">
        <v>44844</v>
      </c>
      <c r="B51" t="s">
        <v>283</v>
      </c>
      <c r="C51" t="s">
        <v>284</v>
      </c>
      <c r="E51" t="s">
        <v>287</v>
      </c>
      <c r="F51">
        <v>2.77</v>
      </c>
      <c r="G51">
        <v>300</v>
      </c>
      <c r="H51">
        <v>82.7</v>
      </c>
      <c r="I51">
        <v>101</v>
      </c>
    </row>
    <row r="52" spans="1:9">
      <c r="A52" s="6">
        <v>44845</v>
      </c>
      <c r="B52" t="s">
        <v>283</v>
      </c>
      <c r="C52" t="s">
        <v>284</v>
      </c>
      <c r="E52" t="s">
        <v>288</v>
      </c>
      <c r="F52">
        <v>2.16</v>
      </c>
      <c r="G52">
        <v>220</v>
      </c>
      <c r="H52">
        <v>154.69999999999999</v>
      </c>
      <c r="I52">
        <v>164</v>
      </c>
    </row>
    <row r="53" spans="1:9">
      <c r="A53" s="6">
        <v>44846</v>
      </c>
      <c r="B53" t="s">
        <v>283</v>
      </c>
      <c r="C53" t="s">
        <v>284</v>
      </c>
      <c r="E53" t="s">
        <v>289</v>
      </c>
      <c r="F53">
        <v>1.07</v>
      </c>
      <c r="G53">
        <v>110</v>
      </c>
      <c r="H53">
        <v>35.9</v>
      </c>
      <c r="I53">
        <v>62</v>
      </c>
    </row>
    <row r="54" spans="1:9">
      <c r="A54" s="6">
        <v>44847</v>
      </c>
      <c r="B54" t="s">
        <v>283</v>
      </c>
      <c r="C54" t="s">
        <v>284</v>
      </c>
      <c r="E54" t="s">
        <v>290</v>
      </c>
      <c r="F54">
        <v>4.9000000000000004</v>
      </c>
      <c r="G54">
        <v>500</v>
      </c>
      <c r="H54">
        <v>101</v>
      </c>
      <c r="I54">
        <v>136</v>
      </c>
    </row>
    <row r="55" spans="1:9">
      <c r="A55" s="6">
        <v>44848</v>
      </c>
      <c r="B55" t="s">
        <v>283</v>
      </c>
      <c r="C55" t="s">
        <v>284</v>
      </c>
      <c r="E55" t="s">
        <v>291</v>
      </c>
      <c r="F55">
        <v>0</v>
      </c>
      <c r="G55">
        <v>0</v>
      </c>
      <c r="H55">
        <v>131.69999999999999</v>
      </c>
      <c r="I55">
        <v>165</v>
      </c>
    </row>
    <row r="56" spans="1:9">
      <c r="A56" s="6">
        <v>44849</v>
      </c>
      <c r="B56" t="s">
        <v>283</v>
      </c>
      <c r="C56" t="s">
        <v>284</v>
      </c>
      <c r="E56" t="s">
        <v>292</v>
      </c>
      <c r="F56">
        <v>1.96</v>
      </c>
      <c r="G56">
        <v>200</v>
      </c>
      <c r="H56">
        <v>105.6</v>
      </c>
      <c r="I56">
        <v>43</v>
      </c>
    </row>
    <row r="57" spans="1:9">
      <c r="A57" s="6">
        <v>44835</v>
      </c>
      <c r="B57" t="s">
        <v>293</v>
      </c>
      <c r="C57" t="s">
        <v>294</v>
      </c>
      <c r="E57" t="s">
        <v>295</v>
      </c>
      <c r="F57">
        <v>0</v>
      </c>
      <c r="G57">
        <v>0</v>
      </c>
      <c r="H57">
        <v>8.5</v>
      </c>
      <c r="I57">
        <v>15</v>
      </c>
    </row>
    <row r="58" spans="1:9">
      <c r="A58" s="6">
        <v>44837</v>
      </c>
      <c r="B58" t="s">
        <v>293</v>
      </c>
      <c r="C58" t="s">
        <v>294</v>
      </c>
      <c r="E58" t="s">
        <v>296</v>
      </c>
      <c r="F58">
        <v>0</v>
      </c>
      <c r="G58">
        <v>0</v>
      </c>
      <c r="H58">
        <v>90.1</v>
      </c>
      <c r="I58">
        <v>8</v>
      </c>
    </row>
    <row r="59" spans="1:9">
      <c r="A59" s="6">
        <v>44838</v>
      </c>
      <c r="B59" t="s">
        <v>293</v>
      </c>
      <c r="C59" t="s">
        <v>294</v>
      </c>
      <c r="E59" t="s">
        <v>297</v>
      </c>
      <c r="F59">
        <v>0</v>
      </c>
      <c r="G59">
        <v>0</v>
      </c>
      <c r="H59">
        <v>180</v>
      </c>
      <c r="I59">
        <v>34</v>
      </c>
    </row>
    <row r="60" spans="1:9">
      <c r="A60" s="6">
        <v>44839</v>
      </c>
      <c r="B60" t="s">
        <v>293</v>
      </c>
      <c r="C60" t="s">
        <v>294</v>
      </c>
      <c r="F60">
        <v>0</v>
      </c>
      <c r="G60">
        <v>0</v>
      </c>
      <c r="H60">
        <v>98.1</v>
      </c>
      <c r="I60">
        <v>0</v>
      </c>
    </row>
    <row r="61" spans="1:9">
      <c r="A61" s="6">
        <v>44840</v>
      </c>
      <c r="B61" t="s">
        <v>293</v>
      </c>
      <c r="C61" t="s">
        <v>294</v>
      </c>
      <c r="F61">
        <v>0</v>
      </c>
      <c r="G61">
        <v>0</v>
      </c>
      <c r="H61">
        <v>65</v>
      </c>
      <c r="I61">
        <v>0</v>
      </c>
    </row>
    <row r="62" spans="1:9">
      <c r="A62" s="6">
        <v>44841</v>
      </c>
      <c r="B62" t="s">
        <v>293</v>
      </c>
      <c r="C62" t="s">
        <v>294</v>
      </c>
      <c r="F62">
        <v>0</v>
      </c>
      <c r="G62">
        <v>0</v>
      </c>
      <c r="H62">
        <v>36.5</v>
      </c>
      <c r="I62">
        <v>0</v>
      </c>
    </row>
    <row r="63" spans="1:9">
      <c r="A63" s="6">
        <v>44842</v>
      </c>
      <c r="B63" t="s">
        <v>293</v>
      </c>
      <c r="C63" t="s">
        <v>294</v>
      </c>
      <c r="F63">
        <v>0</v>
      </c>
      <c r="G63">
        <v>0</v>
      </c>
      <c r="H63">
        <v>99.8</v>
      </c>
      <c r="I63">
        <v>0</v>
      </c>
    </row>
    <row r="64" spans="1:9">
      <c r="A64" s="6">
        <v>44844</v>
      </c>
      <c r="B64" t="s">
        <v>293</v>
      </c>
      <c r="C64" t="s">
        <v>294</v>
      </c>
      <c r="F64">
        <v>0</v>
      </c>
      <c r="G64">
        <v>0</v>
      </c>
      <c r="H64">
        <v>5.9</v>
      </c>
      <c r="I64">
        <v>0</v>
      </c>
    </row>
    <row r="65" spans="1:9">
      <c r="A65" s="6">
        <v>44845</v>
      </c>
      <c r="B65" t="s">
        <v>293</v>
      </c>
      <c r="C65" t="s">
        <v>294</v>
      </c>
      <c r="E65" t="s">
        <v>298</v>
      </c>
      <c r="F65">
        <v>4.2300000000000004</v>
      </c>
      <c r="G65">
        <v>410</v>
      </c>
      <c r="H65">
        <v>170.6</v>
      </c>
      <c r="I65">
        <v>16</v>
      </c>
    </row>
    <row r="66" spans="1:9">
      <c r="A66" s="6">
        <v>44846</v>
      </c>
      <c r="B66" t="s">
        <v>293</v>
      </c>
      <c r="C66" t="s">
        <v>294</v>
      </c>
      <c r="E66" t="s">
        <v>299</v>
      </c>
      <c r="F66">
        <v>0</v>
      </c>
      <c r="G66">
        <v>0</v>
      </c>
      <c r="H66">
        <v>217.6</v>
      </c>
      <c r="I66">
        <v>17</v>
      </c>
    </row>
    <row r="67" spans="1:9">
      <c r="A67" s="6">
        <v>44847</v>
      </c>
      <c r="B67" t="s">
        <v>293</v>
      </c>
      <c r="C67" t="s">
        <v>294</v>
      </c>
      <c r="F67">
        <v>0</v>
      </c>
      <c r="G67">
        <v>0</v>
      </c>
      <c r="H67">
        <v>151.69999999999999</v>
      </c>
      <c r="I67">
        <v>0</v>
      </c>
    </row>
    <row r="68" spans="1:9">
      <c r="A68" s="6">
        <v>44848</v>
      </c>
      <c r="B68" t="s">
        <v>293</v>
      </c>
      <c r="C68" t="s">
        <v>294</v>
      </c>
      <c r="E68" t="s">
        <v>300</v>
      </c>
      <c r="F68">
        <v>0</v>
      </c>
      <c r="G68">
        <v>0</v>
      </c>
      <c r="H68">
        <v>101.7</v>
      </c>
      <c r="I68">
        <v>110</v>
      </c>
    </row>
    <row r="69" spans="1:9">
      <c r="A69" s="6">
        <v>44849</v>
      </c>
      <c r="B69" t="s">
        <v>293</v>
      </c>
      <c r="C69" t="s">
        <v>294</v>
      </c>
      <c r="E69" t="s">
        <v>301</v>
      </c>
      <c r="F69">
        <v>0</v>
      </c>
      <c r="G69">
        <v>0</v>
      </c>
      <c r="H69">
        <v>41.1</v>
      </c>
      <c r="I69">
        <v>7</v>
      </c>
    </row>
    <row r="70" spans="1:9">
      <c r="A70" s="6">
        <v>44844</v>
      </c>
      <c r="B70" t="s">
        <v>302</v>
      </c>
      <c r="C70" t="s">
        <v>303</v>
      </c>
      <c r="F70">
        <v>0</v>
      </c>
      <c r="G70">
        <v>0</v>
      </c>
      <c r="H70">
        <v>193.6</v>
      </c>
      <c r="I70">
        <v>0</v>
      </c>
    </row>
    <row r="71" spans="1:9">
      <c r="A71" s="6">
        <v>44835</v>
      </c>
      <c r="B71" t="s">
        <v>29</v>
      </c>
      <c r="C71" t="s">
        <v>30</v>
      </c>
      <c r="E71" t="s">
        <v>304</v>
      </c>
      <c r="F71">
        <v>0</v>
      </c>
      <c r="G71">
        <v>0</v>
      </c>
      <c r="H71">
        <v>1.2</v>
      </c>
      <c r="I71">
        <v>71</v>
      </c>
    </row>
    <row r="72" spans="1:9">
      <c r="A72" s="6">
        <v>44836</v>
      </c>
      <c r="B72" t="s">
        <v>29</v>
      </c>
      <c r="C72" t="s">
        <v>30</v>
      </c>
      <c r="E72" t="s">
        <v>305</v>
      </c>
      <c r="F72">
        <v>0</v>
      </c>
      <c r="G72">
        <v>0</v>
      </c>
      <c r="H72">
        <v>36.200000000000003</v>
      </c>
      <c r="I72">
        <v>43</v>
      </c>
    </row>
    <row r="73" spans="1:9">
      <c r="A73" s="6">
        <v>44837</v>
      </c>
      <c r="B73" t="s">
        <v>29</v>
      </c>
      <c r="C73" t="s">
        <v>30</v>
      </c>
      <c r="E73" t="s">
        <v>306</v>
      </c>
      <c r="F73">
        <v>23.47</v>
      </c>
      <c r="G73">
        <v>2500</v>
      </c>
      <c r="H73">
        <v>74.900000000000006</v>
      </c>
      <c r="I73">
        <v>129</v>
      </c>
    </row>
    <row r="74" spans="1:9">
      <c r="A74" s="6">
        <v>44838</v>
      </c>
      <c r="B74" t="s">
        <v>29</v>
      </c>
      <c r="C74" t="s">
        <v>30</v>
      </c>
      <c r="E74" t="s">
        <v>307</v>
      </c>
      <c r="F74">
        <v>0</v>
      </c>
      <c r="G74">
        <v>0</v>
      </c>
      <c r="H74">
        <v>168.2</v>
      </c>
      <c r="I74">
        <v>179</v>
      </c>
    </row>
    <row r="75" spans="1:9">
      <c r="A75" s="6">
        <v>44840</v>
      </c>
      <c r="B75" t="s">
        <v>29</v>
      </c>
      <c r="C75" t="s">
        <v>30</v>
      </c>
      <c r="E75" t="s">
        <v>308</v>
      </c>
      <c r="F75">
        <v>0</v>
      </c>
      <c r="G75">
        <v>0</v>
      </c>
      <c r="H75">
        <v>77.3</v>
      </c>
      <c r="I75">
        <v>81</v>
      </c>
    </row>
    <row r="76" spans="1:9">
      <c r="A76" s="6">
        <v>44841</v>
      </c>
      <c r="B76" t="s">
        <v>29</v>
      </c>
      <c r="C76" t="s">
        <v>30</v>
      </c>
      <c r="F76">
        <v>0</v>
      </c>
      <c r="G76">
        <v>0</v>
      </c>
      <c r="H76">
        <v>74.8</v>
      </c>
      <c r="I76">
        <v>0</v>
      </c>
    </row>
    <row r="77" spans="1:9">
      <c r="A77" s="6">
        <v>44842</v>
      </c>
      <c r="B77" t="s">
        <v>29</v>
      </c>
      <c r="C77" t="s">
        <v>30</v>
      </c>
      <c r="F77">
        <v>0</v>
      </c>
      <c r="G77">
        <v>0</v>
      </c>
      <c r="H77">
        <v>0</v>
      </c>
      <c r="I77">
        <v>0</v>
      </c>
    </row>
    <row r="78" spans="1:9">
      <c r="A78" s="6">
        <v>44844</v>
      </c>
      <c r="B78" t="s">
        <v>29</v>
      </c>
      <c r="C78" t="s">
        <v>30</v>
      </c>
      <c r="E78" t="s">
        <v>309</v>
      </c>
      <c r="F78">
        <v>23.53</v>
      </c>
      <c r="G78">
        <v>2500</v>
      </c>
      <c r="H78">
        <v>94.4</v>
      </c>
      <c r="I78">
        <v>148</v>
      </c>
    </row>
    <row r="79" spans="1:9">
      <c r="A79" s="6">
        <v>44845</v>
      </c>
      <c r="B79" t="s">
        <v>29</v>
      </c>
      <c r="C79" t="s">
        <v>30</v>
      </c>
      <c r="E79" t="s">
        <v>310</v>
      </c>
      <c r="F79">
        <v>0</v>
      </c>
      <c r="G79">
        <v>0</v>
      </c>
      <c r="H79">
        <v>33.200000000000003</v>
      </c>
      <c r="I79">
        <v>102</v>
      </c>
    </row>
    <row r="80" spans="1:9">
      <c r="A80" s="6">
        <v>44846</v>
      </c>
      <c r="B80" t="s">
        <v>29</v>
      </c>
      <c r="C80" t="s">
        <v>30</v>
      </c>
      <c r="E80" t="s">
        <v>311</v>
      </c>
      <c r="F80">
        <v>0</v>
      </c>
      <c r="G80">
        <v>0</v>
      </c>
      <c r="H80">
        <v>91.8</v>
      </c>
      <c r="I80">
        <v>113</v>
      </c>
    </row>
    <row r="81" spans="1:9">
      <c r="A81" s="6">
        <v>44847</v>
      </c>
      <c r="B81" t="s">
        <v>29</v>
      </c>
      <c r="C81" t="s">
        <v>30</v>
      </c>
      <c r="E81" t="s">
        <v>312</v>
      </c>
      <c r="F81">
        <v>0</v>
      </c>
      <c r="G81">
        <v>0</v>
      </c>
      <c r="H81">
        <v>164</v>
      </c>
      <c r="I81">
        <v>217</v>
      </c>
    </row>
    <row r="82" spans="1:9">
      <c r="A82" s="6">
        <v>44848</v>
      </c>
      <c r="B82" t="s">
        <v>29</v>
      </c>
      <c r="C82" t="s">
        <v>30</v>
      </c>
      <c r="E82" t="s">
        <v>313</v>
      </c>
      <c r="F82">
        <v>14.11</v>
      </c>
      <c r="G82">
        <v>1500</v>
      </c>
      <c r="H82">
        <v>91.5</v>
      </c>
      <c r="I82">
        <v>89</v>
      </c>
    </row>
    <row r="83" spans="1:9">
      <c r="A83" s="6">
        <v>44849</v>
      </c>
      <c r="B83" t="s">
        <v>29</v>
      </c>
      <c r="C83" t="s">
        <v>30</v>
      </c>
      <c r="E83" t="s">
        <v>314</v>
      </c>
      <c r="F83">
        <v>0</v>
      </c>
      <c r="G83">
        <v>0</v>
      </c>
      <c r="H83">
        <v>158</v>
      </c>
      <c r="I83">
        <v>142</v>
      </c>
    </row>
    <row r="84" spans="1:9">
      <c r="A84" s="6">
        <v>44835</v>
      </c>
      <c r="B84" t="s">
        <v>35</v>
      </c>
      <c r="C84" t="s">
        <v>36</v>
      </c>
      <c r="E84" t="s">
        <v>315</v>
      </c>
      <c r="F84">
        <v>0</v>
      </c>
      <c r="G84">
        <v>0</v>
      </c>
      <c r="H84">
        <v>0</v>
      </c>
      <c r="I84">
        <v>22</v>
      </c>
    </row>
    <row r="85" spans="1:9">
      <c r="A85" s="6">
        <v>44837</v>
      </c>
      <c r="B85" t="s">
        <v>35</v>
      </c>
      <c r="C85" t="s">
        <v>36</v>
      </c>
      <c r="E85" t="s">
        <v>316</v>
      </c>
      <c r="F85">
        <v>4.7</v>
      </c>
      <c r="G85">
        <v>500</v>
      </c>
      <c r="H85">
        <v>167.8</v>
      </c>
      <c r="I85">
        <v>169</v>
      </c>
    </row>
    <row r="86" spans="1:9">
      <c r="A86" s="6">
        <v>44838</v>
      </c>
      <c r="B86" t="s">
        <v>35</v>
      </c>
      <c r="C86" t="s">
        <v>36</v>
      </c>
      <c r="E86" t="s">
        <v>317</v>
      </c>
      <c r="F86">
        <v>4.68</v>
      </c>
      <c r="G86">
        <v>500</v>
      </c>
      <c r="H86">
        <v>169.5</v>
      </c>
      <c r="I86">
        <v>169</v>
      </c>
    </row>
    <row r="87" spans="1:9">
      <c r="A87" s="6">
        <v>44839</v>
      </c>
      <c r="B87" t="s">
        <v>35</v>
      </c>
      <c r="C87" t="s">
        <v>36</v>
      </c>
      <c r="F87">
        <v>0</v>
      </c>
      <c r="G87">
        <v>0</v>
      </c>
      <c r="H87">
        <v>0.3</v>
      </c>
      <c r="I87">
        <v>0</v>
      </c>
    </row>
    <row r="88" spans="1:9">
      <c r="A88" s="6">
        <v>44840</v>
      </c>
      <c r="B88" t="s">
        <v>35</v>
      </c>
      <c r="C88" t="s">
        <v>36</v>
      </c>
      <c r="E88" t="s">
        <v>318</v>
      </c>
      <c r="F88">
        <v>0</v>
      </c>
      <c r="G88">
        <v>0</v>
      </c>
      <c r="H88">
        <v>162.80000000000001</v>
      </c>
      <c r="I88">
        <v>160</v>
      </c>
    </row>
    <row r="89" spans="1:9">
      <c r="A89" s="6">
        <v>44841</v>
      </c>
      <c r="B89" t="s">
        <v>35</v>
      </c>
      <c r="C89" t="s">
        <v>36</v>
      </c>
      <c r="E89" t="s">
        <v>319</v>
      </c>
      <c r="F89">
        <v>0</v>
      </c>
      <c r="G89">
        <v>0</v>
      </c>
      <c r="H89">
        <v>7.4</v>
      </c>
      <c r="I89">
        <v>11</v>
      </c>
    </row>
    <row r="90" spans="1:9">
      <c r="A90" s="6">
        <v>44842</v>
      </c>
      <c r="B90" t="s">
        <v>35</v>
      </c>
      <c r="C90" t="s">
        <v>36</v>
      </c>
      <c r="E90" t="s">
        <v>320</v>
      </c>
      <c r="F90">
        <v>0</v>
      </c>
      <c r="G90">
        <v>0</v>
      </c>
      <c r="H90">
        <v>24</v>
      </c>
      <c r="I90">
        <v>34</v>
      </c>
    </row>
    <row r="91" spans="1:9">
      <c r="A91" s="6">
        <v>44844</v>
      </c>
      <c r="B91" t="s">
        <v>35</v>
      </c>
      <c r="C91" t="s">
        <v>36</v>
      </c>
      <c r="E91" t="s">
        <v>321</v>
      </c>
      <c r="F91">
        <v>4.7</v>
      </c>
      <c r="G91">
        <v>0</v>
      </c>
      <c r="H91">
        <v>54.9</v>
      </c>
      <c r="I91">
        <v>70</v>
      </c>
    </row>
    <row r="92" spans="1:9">
      <c r="A92" s="6">
        <v>44845</v>
      </c>
      <c r="B92" t="s">
        <v>35</v>
      </c>
      <c r="C92" t="s">
        <v>36</v>
      </c>
      <c r="E92" t="s">
        <v>322</v>
      </c>
      <c r="F92">
        <v>0</v>
      </c>
      <c r="G92">
        <v>0</v>
      </c>
      <c r="H92">
        <v>46.3</v>
      </c>
      <c r="I92">
        <v>52</v>
      </c>
    </row>
    <row r="93" spans="1:9">
      <c r="A93" s="6">
        <v>44846</v>
      </c>
      <c r="B93" t="s">
        <v>35</v>
      </c>
      <c r="C93" t="s">
        <v>36</v>
      </c>
      <c r="E93" t="s">
        <v>323</v>
      </c>
      <c r="F93">
        <v>0</v>
      </c>
      <c r="G93">
        <v>0</v>
      </c>
      <c r="H93">
        <v>5.0999999999999996</v>
      </c>
      <c r="I93">
        <v>11</v>
      </c>
    </row>
    <row r="94" spans="1:9">
      <c r="A94" s="6">
        <v>44847</v>
      </c>
      <c r="B94" t="s">
        <v>35</v>
      </c>
      <c r="C94" t="s">
        <v>36</v>
      </c>
      <c r="E94" t="s">
        <v>324</v>
      </c>
      <c r="F94">
        <v>0</v>
      </c>
      <c r="G94">
        <v>0</v>
      </c>
      <c r="H94">
        <v>24.2</v>
      </c>
      <c r="I94">
        <v>40</v>
      </c>
    </row>
    <row r="95" spans="1:9">
      <c r="A95" s="6">
        <v>44848</v>
      </c>
      <c r="B95" t="s">
        <v>35</v>
      </c>
      <c r="C95" t="s">
        <v>36</v>
      </c>
      <c r="E95" t="s">
        <v>325</v>
      </c>
      <c r="F95">
        <v>0</v>
      </c>
      <c r="G95">
        <v>0</v>
      </c>
      <c r="H95">
        <v>20.7</v>
      </c>
      <c r="I95">
        <v>44</v>
      </c>
    </row>
    <row r="96" spans="1:9">
      <c r="A96" s="6">
        <v>44849</v>
      </c>
      <c r="B96" t="s">
        <v>35</v>
      </c>
      <c r="C96" t="s">
        <v>36</v>
      </c>
      <c r="E96" t="s">
        <v>326</v>
      </c>
      <c r="F96">
        <v>0</v>
      </c>
      <c r="G96">
        <v>0</v>
      </c>
      <c r="H96">
        <v>0.9</v>
      </c>
      <c r="I96">
        <v>5</v>
      </c>
    </row>
    <row r="97" spans="1:9">
      <c r="A97" s="6">
        <v>44835</v>
      </c>
      <c r="B97" t="s">
        <v>52</v>
      </c>
      <c r="C97" t="s">
        <v>327</v>
      </c>
      <c r="E97" t="s">
        <v>328</v>
      </c>
      <c r="F97">
        <v>0</v>
      </c>
      <c r="G97">
        <v>0</v>
      </c>
      <c r="H97">
        <v>65.5</v>
      </c>
      <c r="I97">
        <v>70</v>
      </c>
    </row>
    <row r="98" spans="1:9">
      <c r="A98" s="6">
        <v>44837</v>
      </c>
      <c r="B98" t="s">
        <v>52</v>
      </c>
      <c r="C98" t="s">
        <v>327</v>
      </c>
      <c r="E98" t="s">
        <v>329</v>
      </c>
      <c r="F98">
        <v>0</v>
      </c>
      <c r="G98">
        <v>0</v>
      </c>
      <c r="H98">
        <v>8.1</v>
      </c>
      <c r="I98">
        <v>48</v>
      </c>
    </row>
    <row r="99" spans="1:9">
      <c r="A99" s="6">
        <v>44838</v>
      </c>
      <c r="B99" t="s">
        <v>52</v>
      </c>
      <c r="C99" t="s">
        <v>327</v>
      </c>
      <c r="E99" t="s">
        <v>330</v>
      </c>
      <c r="F99">
        <v>5.64</v>
      </c>
      <c r="G99">
        <v>550</v>
      </c>
      <c r="H99">
        <v>35.9</v>
      </c>
      <c r="I99">
        <v>117</v>
      </c>
    </row>
    <row r="100" spans="1:9">
      <c r="A100" s="6">
        <v>44840</v>
      </c>
      <c r="B100" t="s">
        <v>52</v>
      </c>
      <c r="C100" t="s">
        <v>327</v>
      </c>
      <c r="E100" t="s">
        <v>331</v>
      </c>
      <c r="F100">
        <v>0</v>
      </c>
      <c r="G100">
        <v>0</v>
      </c>
      <c r="H100">
        <v>113</v>
      </c>
      <c r="I100">
        <v>107</v>
      </c>
    </row>
    <row r="101" spans="1:9">
      <c r="A101" s="6">
        <v>44841</v>
      </c>
      <c r="B101" t="s">
        <v>52</v>
      </c>
      <c r="C101" t="s">
        <v>327</v>
      </c>
      <c r="E101" t="s">
        <v>332</v>
      </c>
      <c r="F101">
        <v>5.63</v>
      </c>
      <c r="G101">
        <v>550</v>
      </c>
      <c r="H101">
        <v>131.19999999999999</v>
      </c>
      <c r="I101">
        <v>132</v>
      </c>
    </row>
    <row r="102" spans="1:9">
      <c r="A102" s="6">
        <v>44842</v>
      </c>
      <c r="B102" t="s">
        <v>52</v>
      </c>
      <c r="C102" t="s">
        <v>327</v>
      </c>
      <c r="E102" t="s">
        <v>333</v>
      </c>
      <c r="F102">
        <v>5.61</v>
      </c>
      <c r="G102">
        <v>550</v>
      </c>
      <c r="H102">
        <v>202.4</v>
      </c>
      <c r="I102">
        <v>1</v>
      </c>
    </row>
    <row r="103" spans="1:9">
      <c r="A103" s="6">
        <v>44844</v>
      </c>
      <c r="B103" t="s">
        <v>52</v>
      </c>
      <c r="C103" t="s">
        <v>327</v>
      </c>
      <c r="E103" t="s">
        <v>334</v>
      </c>
      <c r="F103">
        <v>0</v>
      </c>
      <c r="G103">
        <v>0</v>
      </c>
      <c r="H103">
        <v>62.1</v>
      </c>
      <c r="I103">
        <v>38</v>
      </c>
    </row>
    <row r="104" spans="1:9">
      <c r="A104" s="6">
        <v>44845</v>
      </c>
      <c r="B104" t="s">
        <v>52</v>
      </c>
      <c r="C104" t="s">
        <v>327</v>
      </c>
      <c r="E104" t="s">
        <v>335</v>
      </c>
      <c r="F104">
        <v>0</v>
      </c>
      <c r="G104">
        <v>0</v>
      </c>
      <c r="H104">
        <v>127.9</v>
      </c>
      <c r="I104">
        <v>95</v>
      </c>
    </row>
    <row r="105" spans="1:9">
      <c r="A105" s="6">
        <v>44846</v>
      </c>
      <c r="B105" t="s">
        <v>52</v>
      </c>
      <c r="C105" t="s">
        <v>327</v>
      </c>
      <c r="E105" t="s">
        <v>336</v>
      </c>
      <c r="F105">
        <v>5.64</v>
      </c>
      <c r="G105">
        <v>550</v>
      </c>
      <c r="H105">
        <v>81.5</v>
      </c>
      <c r="I105">
        <v>82</v>
      </c>
    </row>
    <row r="106" spans="1:9">
      <c r="A106" s="6">
        <v>44847</v>
      </c>
      <c r="B106" t="s">
        <v>52</v>
      </c>
      <c r="C106" t="s">
        <v>327</v>
      </c>
      <c r="E106" t="s">
        <v>337</v>
      </c>
      <c r="F106">
        <v>5.57</v>
      </c>
      <c r="G106">
        <v>550</v>
      </c>
      <c r="H106">
        <v>166.5</v>
      </c>
      <c r="I106">
        <v>179</v>
      </c>
    </row>
    <row r="107" spans="1:9">
      <c r="A107" s="6">
        <v>44848</v>
      </c>
      <c r="B107" t="s">
        <v>52</v>
      </c>
      <c r="C107" t="s">
        <v>327</v>
      </c>
      <c r="E107" t="s">
        <v>338</v>
      </c>
      <c r="F107">
        <v>0</v>
      </c>
      <c r="G107">
        <v>0</v>
      </c>
      <c r="H107">
        <v>130</v>
      </c>
      <c r="I107">
        <v>117</v>
      </c>
    </row>
    <row r="108" spans="1:9">
      <c r="A108" s="6">
        <v>44849</v>
      </c>
      <c r="B108" t="s">
        <v>52</v>
      </c>
      <c r="C108" t="s">
        <v>327</v>
      </c>
      <c r="E108" t="s">
        <v>339</v>
      </c>
      <c r="F108">
        <v>5.64</v>
      </c>
      <c r="G108">
        <v>550</v>
      </c>
      <c r="H108">
        <v>45.2</v>
      </c>
      <c r="I108">
        <v>39</v>
      </c>
    </row>
    <row r="109" spans="1:9">
      <c r="A109" s="6">
        <v>44835</v>
      </c>
      <c r="B109" t="s">
        <v>340</v>
      </c>
      <c r="C109" t="s">
        <v>341</v>
      </c>
      <c r="E109" t="s">
        <v>342</v>
      </c>
      <c r="F109">
        <v>0</v>
      </c>
      <c r="G109">
        <v>0</v>
      </c>
      <c r="H109">
        <v>29.1</v>
      </c>
      <c r="I109">
        <v>52</v>
      </c>
    </row>
    <row r="110" spans="1:9">
      <c r="A110" s="6">
        <v>44837</v>
      </c>
      <c r="B110" t="s">
        <v>340</v>
      </c>
      <c r="C110" t="s">
        <v>341</v>
      </c>
      <c r="E110" t="s">
        <v>343</v>
      </c>
      <c r="F110">
        <v>0</v>
      </c>
      <c r="G110">
        <v>0</v>
      </c>
      <c r="H110">
        <v>61.6</v>
      </c>
      <c r="I110">
        <v>85</v>
      </c>
    </row>
    <row r="111" spans="1:9">
      <c r="A111" s="6">
        <v>44838</v>
      </c>
      <c r="B111" t="s">
        <v>340</v>
      </c>
      <c r="C111" t="s">
        <v>341</v>
      </c>
      <c r="E111" t="s">
        <v>344</v>
      </c>
      <c r="F111">
        <v>4.92</v>
      </c>
      <c r="G111">
        <v>550</v>
      </c>
      <c r="H111">
        <v>11.8</v>
      </c>
      <c r="I111">
        <v>57</v>
      </c>
    </row>
    <row r="112" spans="1:9">
      <c r="A112" s="6">
        <v>44839</v>
      </c>
      <c r="B112" t="s">
        <v>340</v>
      </c>
      <c r="C112" t="s">
        <v>341</v>
      </c>
      <c r="E112" t="s">
        <v>345</v>
      </c>
      <c r="F112">
        <v>0</v>
      </c>
      <c r="G112">
        <v>0</v>
      </c>
      <c r="H112">
        <v>24.4</v>
      </c>
      <c r="I112">
        <v>44</v>
      </c>
    </row>
    <row r="113" spans="1:9">
      <c r="A113" s="6">
        <v>44840</v>
      </c>
      <c r="B113" t="s">
        <v>340</v>
      </c>
      <c r="C113" t="s">
        <v>341</v>
      </c>
      <c r="E113" t="s">
        <v>346</v>
      </c>
      <c r="F113">
        <v>0</v>
      </c>
      <c r="G113">
        <v>0</v>
      </c>
      <c r="H113">
        <v>49.4</v>
      </c>
      <c r="I113">
        <v>51</v>
      </c>
    </row>
    <row r="114" spans="1:9">
      <c r="A114" s="6">
        <v>44841</v>
      </c>
      <c r="B114" t="s">
        <v>340</v>
      </c>
      <c r="C114" t="s">
        <v>341</v>
      </c>
      <c r="E114" t="s">
        <v>347</v>
      </c>
      <c r="F114">
        <v>0</v>
      </c>
      <c r="G114">
        <v>0</v>
      </c>
      <c r="H114">
        <v>134.1</v>
      </c>
      <c r="I114">
        <v>15</v>
      </c>
    </row>
    <row r="115" spans="1:9">
      <c r="A115" s="6">
        <v>44842</v>
      </c>
      <c r="B115" t="s">
        <v>340</v>
      </c>
      <c r="C115" t="s">
        <v>341</v>
      </c>
      <c r="E115" t="s">
        <v>348</v>
      </c>
      <c r="F115">
        <v>0</v>
      </c>
      <c r="G115">
        <v>0</v>
      </c>
      <c r="H115">
        <v>97.2</v>
      </c>
      <c r="I115">
        <v>135</v>
      </c>
    </row>
    <row r="116" spans="1:9">
      <c r="A116" s="6">
        <v>44843</v>
      </c>
      <c r="B116" t="s">
        <v>340</v>
      </c>
      <c r="C116" t="s">
        <v>341</v>
      </c>
      <c r="E116" t="s">
        <v>349</v>
      </c>
      <c r="F116">
        <v>4.91</v>
      </c>
      <c r="G116">
        <v>550</v>
      </c>
      <c r="H116">
        <v>4.7</v>
      </c>
      <c r="I116">
        <v>29</v>
      </c>
    </row>
    <row r="117" spans="1:9">
      <c r="A117" s="6">
        <v>44844</v>
      </c>
      <c r="B117" t="s">
        <v>340</v>
      </c>
      <c r="C117" t="s">
        <v>341</v>
      </c>
      <c r="E117" t="s">
        <v>350</v>
      </c>
      <c r="F117">
        <v>0</v>
      </c>
      <c r="G117">
        <v>0</v>
      </c>
      <c r="H117">
        <v>26.7</v>
      </c>
      <c r="I117">
        <v>46</v>
      </c>
    </row>
    <row r="118" spans="1:9">
      <c r="A118" s="6">
        <v>44845</v>
      </c>
      <c r="B118" t="s">
        <v>340</v>
      </c>
      <c r="C118" t="s">
        <v>341</v>
      </c>
      <c r="E118" t="s">
        <v>351</v>
      </c>
      <c r="F118">
        <v>0</v>
      </c>
      <c r="G118">
        <v>0</v>
      </c>
      <c r="H118">
        <v>43.9</v>
      </c>
      <c r="I118">
        <v>72</v>
      </c>
    </row>
    <row r="119" spans="1:9">
      <c r="A119" s="6">
        <v>44846</v>
      </c>
      <c r="B119" t="s">
        <v>340</v>
      </c>
      <c r="C119" t="s">
        <v>341</v>
      </c>
      <c r="E119" t="s">
        <v>352</v>
      </c>
      <c r="F119">
        <v>0</v>
      </c>
      <c r="G119">
        <v>0</v>
      </c>
      <c r="H119">
        <v>94.2</v>
      </c>
      <c r="I119">
        <v>88</v>
      </c>
    </row>
    <row r="120" spans="1:9">
      <c r="A120" s="6">
        <v>44847</v>
      </c>
      <c r="B120" t="s">
        <v>340</v>
      </c>
      <c r="C120" t="s">
        <v>341</v>
      </c>
      <c r="E120" t="s">
        <v>353</v>
      </c>
      <c r="F120">
        <v>4.92</v>
      </c>
      <c r="G120">
        <v>550</v>
      </c>
      <c r="H120">
        <v>13.3</v>
      </c>
      <c r="I120">
        <v>60</v>
      </c>
    </row>
    <row r="121" spans="1:9">
      <c r="A121" s="6">
        <v>44848</v>
      </c>
      <c r="B121" t="s">
        <v>340</v>
      </c>
      <c r="C121" t="s">
        <v>341</v>
      </c>
      <c r="E121" t="s">
        <v>354</v>
      </c>
      <c r="F121">
        <v>0</v>
      </c>
      <c r="G121">
        <v>0</v>
      </c>
      <c r="H121">
        <v>26.5</v>
      </c>
      <c r="I121">
        <v>62</v>
      </c>
    </row>
    <row r="122" spans="1:9">
      <c r="A122" s="6">
        <v>44849</v>
      </c>
      <c r="B122" t="s">
        <v>340</v>
      </c>
      <c r="C122" t="s">
        <v>341</v>
      </c>
      <c r="E122" t="s">
        <v>355</v>
      </c>
      <c r="F122">
        <v>0</v>
      </c>
      <c r="G122">
        <v>0</v>
      </c>
      <c r="H122">
        <v>47.1</v>
      </c>
      <c r="I122">
        <v>78</v>
      </c>
    </row>
    <row r="123" spans="1:9">
      <c r="A123" s="6">
        <v>44835</v>
      </c>
      <c r="B123" t="s">
        <v>55</v>
      </c>
      <c r="C123" t="s">
        <v>56</v>
      </c>
      <c r="E123" t="s">
        <v>356</v>
      </c>
      <c r="F123">
        <v>0</v>
      </c>
      <c r="G123">
        <v>0</v>
      </c>
      <c r="H123">
        <v>11.7</v>
      </c>
      <c r="I123">
        <v>0</v>
      </c>
    </row>
    <row r="124" spans="1:9">
      <c r="A124" s="6">
        <v>44837</v>
      </c>
      <c r="B124" t="s">
        <v>55</v>
      </c>
      <c r="C124" t="s">
        <v>56</v>
      </c>
      <c r="E124" t="s">
        <v>357</v>
      </c>
      <c r="F124">
        <v>5</v>
      </c>
      <c r="G124">
        <v>512</v>
      </c>
      <c r="H124">
        <v>44.2</v>
      </c>
      <c r="I124">
        <v>26</v>
      </c>
    </row>
    <row r="125" spans="1:9">
      <c r="A125" s="6">
        <v>44838</v>
      </c>
      <c r="B125" t="s">
        <v>55</v>
      </c>
      <c r="C125" t="s">
        <v>56</v>
      </c>
      <c r="E125" t="s">
        <v>358</v>
      </c>
      <c r="F125">
        <v>0</v>
      </c>
      <c r="G125">
        <v>0</v>
      </c>
      <c r="H125">
        <v>36.1</v>
      </c>
      <c r="I125">
        <v>47</v>
      </c>
    </row>
    <row r="126" spans="1:9">
      <c r="A126" s="6">
        <v>44840</v>
      </c>
      <c r="B126" t="s">
        <v>55</v>
      </c>
      <c r="C126" t="s">
        <v>56</v>
      </c>
      <c r="E126" t="s">
        <v>359</v>
      </c>
      <c r="F126">
        <v>0</v>
      </c>
      <c r="G126">
        <v>0</v>
      </c>
      <c r="H126">
        <v>44.6</v>
      </c>
      <c r="I126">
        <v>0</v>
      </c>
    </row>
    <row r="127" spans="1:9">
      <c r="A127" s="6">
        <v>44841</v>
      </c>
      <c r="B127" t="s">
        <v>55</v>
      </c>
      <c r="C127" t="s">
        <v>56</v>
      </c>
      <c r="E127" t="s">
        <v>360</v>
      </c>
      <c r="F127">
        <v>0</v>
      </c>
      <c r="G127">
        <v>0</v>
      </c>
      <c r="H127">
        <v>41.6</v>
      </c>
      <c r="I127">
        <v>48</v>
      </c>
    </row>
    <row r="128" spans="1:9">
      <c r="A128" s="6">
        <v>44842</v>
      </c>
      <c r="B128" t="s">
        <v>55</v>
      </c>
      <c r="C128" t="s">
        <v>56</v>
      </c>
      <c r="E128" t="s">
        <v>361</v>
      </c>
      <c r="F128">
        <v>0</v>
      </c>
      <c r="G128">
        <v>0</v>
      </c>
      <c r="H128">
        <v>0.7</v>
      </c>
      <c r="I128">
        <v>41</v>
      </c>
    </row>
    <row r="129" spans="1:9">
      <c r="A129" s="6">
        <v>44844</v>
      </c>
      <c r="B129" t="s">
        <v>55</v>
      </c>
      <c r="C129" t="s">
        <v>56</v>
      </c>
      <c r="F129">
        <v>0</v>
      </c>
      <c r="G129">
        <v>0</v>
      </c>
      <c r="H129">
        <v>4.5999999999999996</v>
      </c>
      <c r="I129">
        <v>0</v>
      </c>
    </row>
    <row r="130" spans="1:9">
      <c r="A130" s="6">
        <v>44845</v>
      </c>
      <c r="B130" t="s">
        <v>55</v>
      </c>
      <c r="C130" t="s">
        <v>56</v>
      </c>
      <c r="E130" t="s">
        <v>362</v>
      </c>
      <c r="F130">
        <v>0</v>
      </c>
      <c r="G130">
        <v>0</v>
      </c>
      <c r="H130">
        <v>45.4</v>
      </c>
      <c r="I130">
        <v>67</v>
      </c>
    </row>
    <row r="131" spans="1:9">
      <c r="A131" s="6">
        <v>44846</v>
      </c>
      <c r="B131" t="s">
        <v>55</v>
      </c>
      <c r="C131" t="s">
        <v>56</v>
      </c>
      <c r="E131" t="s">
        <v>363</v>
      </c>
      <c r="F131">
        <v>5</v>
      </c>
      <c r="G131">
        <v>512</v>
      </c>
      <c r="H131">
        <v>42.2</v>
      </c>
      <c r="I131">
        <v>39</v>
      </c>
    </row>
    <row r="132" spans="1:9">
      <c r="A132" s="6">
        <v>44847</v>
      </c>
      <c r="B132" t="s">
        <v>55</v>
      </c>
      <c r="C132" t="s">
        <v>56</v>
      </c>
      <c r="E132" t="s">
        <v>364</v>
      </c>
      <c r="F132">
        <v>0</v>
      </c>
      <c r="G132">
        <v>0</v>
      </c>
      <c r="H132">
        <v>12.7</v>
      </c>
      <c r="I132">
        <v>17</v>
      </c>
    </row>
    <row r="133" spans="1:9">
      <c r="A133" s="6">
        <v>44848</v>
      </c>
      <c r="B133" t="s">
        <v>55</v>
      </c>
      <c r="C133" t="s">
        <v>56</v>
      </c>
      <c r="E133" t="s">
        <v>365</v>
      </c>
      <c r="F133">
        <v>0</v>
      </c>
      <c r="G133">
        <v>0</v>
      </c>
      <c r="H133">
        <v>41.5</v>
      </c>
      <c r="I133">
        <v>50</v>
      </c>
    </row>
    <row r="134" spans="1:9">
      <c r="A134" s="6">
        <v>44849</v>
      </c>
      <c r="B134" t="s">
        <v>55</v>
      </c>
      <c r="C134" t="s">
        <v>56</v>
      </c>
      <c r="E134" t="s">
        <v>366</v>
      </c>
      <c r="F134">
        <v>0</v>
      </c>
      <c r="G134">
        <v>0</v>
      </c>
      <c r="H134">
        <v>46.2</v>
      </c>
      <c r="I134">
        <v>46</v>
      </c>
    </row>
    <row r="135" spans="1:9">
      <c r="A135" s="6">
        <v>44835</v>
      </c>
      <c r="B135" t="s">
        <v>367</v>
      </c>
      <c r="C135" t="s">
        <v>368</v>
      </c>
      <c r="E135" t="s">
        <v>369</v>
      </c>
      <c r="F135">
        <v>2.81</v>
      </c>
      <c r="G135">
        <v>300</v>
      </c>
      <c r="H135">
        <v>0.2</v>
      </c>
      <c r="I135">
        <v>78</v>
      </c>
    </row>
    <row r="136" spans="1:9">
      <c r="A136" s="6">
        <v>44837</v>
      </c>
      <c r="B136" t="s">
        <v>367</v>
      </c>
      <c r="C136" t="s">
        <v>368</v>
      </c>
      <c r="E136" t="s">
        <v>370</v>
      </c>
      <c r="F136">
        <v>0</v>
      </c>
      <c r="G136">
        <v>0</v>
      </c>
      <c r="H136">
        <v>0</v>
      </c>
      <c r="I136">
        <v>69</v>
      </c>
    </row>
    <row r="137" spans="1:9">
      <c r="A137" s="6">
        <v>44838</v>
      </c>
      <c r="B137" t="s">
        <v>367</v>
      </c>
      <c r="C137" t="s">
        <v>368</v>
      </c>
      <c r="E137" t="s">
        <v>371</v>
      </c>
      <c r="F137">
        <v>2.81</v>
      </c>
      <c r="G137">
        <v>300</v>
      </c>
      <c r="H137">
        <v>37.299999999999997</v>
      </c>
      <c r="I137">
        <v>78</v>
      </c>
    </row>
    <row r="138" spans="1:9">
      <c r="A138" s="6">
        <v>44840</v>
      </c>
      <c r="B138" t="s">
        <v>367</v>
      </c>
      <c r="C138" t="s">
        <v>368</v>
      </c>
      <c r="E138" t="s">
        <v>372</v>
      </c>
      <c r="F138">
        <v>0</v>
      </c>
      <c r="G138">
        <v>0</v>
      </c>
      <c r="H138">
        <v>0.3</v>
      </c>
      <c r="I138">
        <v>68</v>
      </c>
    </row>
    <row r="139" spans="1:9">
      <c r="A139" s="6">
        <v>44841</v>
      </c>
      <c r="B139" t="s">
        <v>367</v>
      </c>
      <c r="C139" t="s">
        <v>368</v>
      </c>
      <c r="E139" t="s">
        <v>373</v>
      </c>
      <c r="F139">
        <v>3</v>
      </c>
      <c r="G139">
        <v>320</v>
      </c>
      <c r="H139">
        <v>0.2</v>
      </c>
      <c r="I139">
        <v>125</v>
      </c>
    </row>
    <row r="140" spans="1:9">
      <c r="A140" s="6">
        <v>44844</v>
      </c>
      <c r="B140" t="s">
        <v>367</v>
      </c>
      <c r="C140" t="s">
        <v>368</v>
      </c>
      <c r="F140">
        <v>0</v>
      </c>
      <c r="G140">
        <v>0</v>
      </c>
      <c r="H140">
        <v>0</v>
      </c>
      <c r="I140">
        <v>0</v>
      </c>
    </row>
    <row r="141" spans="1:9">
      <c r="A141" s="6">
        <v>44845</v>
      </c>
      <c r="B141" t="s">
        <v>367</v>
      </c>
      <c r="C141" t="s">
        <v>368</v>
      </c>
      <c r="E141" t="s">
        <v>374</v>
      </c>
      <c r="F141">
        <v>0</v>
      </c>
      <c r="G141">
        <v>0</v>
      </c>
      <c r="H141">
        <v>34</v>
      </c>
      <c r="I141">
        <v>0</v>
      </c>
    </row>
    <row r="142" spans="1:9">
      <c r="A142" s="6">
        <v>44835</v>
      </c>
      <c r="B142" t="s">
        <v>375</v>
      </c>
      <c r="C142" t="s">
        <v>376</v>
      </c>
      <c r="E142" t="s">
        <v>377</v>
      </c>
      <c r="F142">
        <v>6.29</v>
      </c>
      <c r="G142">
        <v>600</v>
      </c>
      <c r="H142">
        <v>14.6</v>
      </c>
      <c r="I142">
        <v>107</v>
      </c>
    </row>
    <row r="143" spans="1:9">
      <c r="A143" s="6">
        <v>44837</v>
      </c>
      <c r="B143" t="s">
        <v>375</v>
      </c>
      <c r="C143" t="s">
        <v>376</v>
      </c>
      <c r="E143" t="s">
        <v>378</v>
      </c>
      <c r="F143">
        <v>0</v>
      </c>
      <c r="G143">
        <v>0</v>
      </c>
      <c r="H143">
        <v>26.6</v>
      </c>
      <c r="I143">
        <v>42</v>
      </c>
    </row>
    <row r="144" spans="1:9">
      <c r="A144" s="6">
        <v>44838</v>
      </c>
      <c r="B144" t="s">
        <v>375</v>
      </c>
      <c r="C144" t="s">
        <v>376</v>
      </c>
      <c r="E144" t="s">
        <v>379</v>
      </c>
      <c r="F144">
        <v>0</v>
      </c>
      <c r="G144">
        <v>0</v>
      </c>
      <c r="H144">
        <v>27.2</v>
      </c>
      <c r="I144">
        <v>68</v>
      </c>
    </row>
    <row r="145" spans="1:9">
      <c r="A145" s="6">
        <v>44839</v>
      </c>
      <c r="B145" t="s">
        <v>375</v>
      </c>
      <c r="C145" t="s">
        <v>376</v>
      </c>
      <c r="E145" t="s">
        <v>380</v>
      </c>
      <c r="F145">
        <v>0</v>
      </c>
      <c r="G145">
        <v>0</v>
      </c>
      <c r="H145">
        <v>24.9</v>
      </c>
      <c r="I145">
        <v>89</v>
      </c>
    </row>
    <row r="146" spans="1:9">
      <c r="A146" s="6">
        <v>44840</v>
      </c>
      <c r="B146" t="s">
        <v>375</v>
      </c>
      <c r="C146" t="s">
        <v>376</v>
      </c>
      <c r="E146" t="s">
        <v>381</v>
      </c>
      <c r="F146">
        <v>0</v>
      </c>
      <c r="G146">
        <v>0</v>
      </c>
      <c r="H146">
        <v>62.6</v>
      </c>
      <c r="I146">
        <v>112</v>
      </c>
    </row>
    <row r="147" spans="1:9">
      <c r="A147" s="6">
        <v>44841</v>
      </c>
      <c r="B147" t="s">
        <v>375</v>
      </c>
      <c r="C147" t="s">
        <v>376</v>
      </c>
      <c r="E147" t="s">
        <v>382</v>
      </c>
      <c r="F147">
        <v>10.35</v>
      </c>
      <c r="G147">
        <v>999.81</v>
      </c>
      <c r="H147">
        <v>0.6</v>
      </c>
      <c r="I147">
        <v>70</v>
      </c>
    </row>
    <row r="148" spans="1:9">
      <c r="A148" s="6">
        <v>44842</v>
      </c>
      <c r="B148" t="s">
        <v>375</v>
      </c>
      <c r="C148" t="s">
        <v>376</v>
      </c>
      <c r="E148" t="s">
        <v>383</v>
      </c>
      <c r="F148">
        <v>0</v>
      </c>
      <c r="G148">
        <v>0</v>
      </c>
      <c r="H148">
        <v>29.9</v>
      </c>
      <c r="I148">
        <v>58</v>
      </c>
    </row>
    <row r="149" spans="1:9">
      <c r="A149" s="6">
        <v>44844</v>
      </c>
      <c r="B149" t="s">
        <v>375</v>
      </c>
      <c r="C149" t="s">
        <v>376</v>
      </c>
      <c r="E149" t="s">
        <v>384</v>
      </c>
      <c r="F149">
        <v>0</v>
      </c>
      <c r="G149">
        <v>0</v>
      </c>
      <c r="H149">
        <v>9.1</v>
      </c>
      <c r="I149">
        <v>251055</v>
      </c>
    </row>
    <row r="150" spans="1:9">
      <c r="A150" s="6">
        <v>44845</v>
      </c>
      <c r="B150" t="s">
        <v>375</v>
      </c>
      <c r="C150" t="s">
        <v>376</v>
      </c>
      <c r="E150" t="s">
        <v>385</v>
      </c>
      <c r="F150">
        <v>0</v>
      </c>
      <c r="G150">
        <v>0</v>
      </c>
      <c r="H150">
        <v>0.2</v>
      </c>
      <c r="I150">
        <v>924</v>
      </c>
    </row>
    <row r="151" spans="1:9">
      <c r="A151" s="6">
        <v>44846</v>
      </c>
      <c r="B151" t="s">
        <v>375</v>
      </c>
      <c r="C151" t="s">
        <v>376</v>
      </c>
      <c r="E151" t="s">
        <v>386</v>
      </c>
      <c r="F151">
        <v>0</v>
      </c>
      <c r="G151">
        <v>0</v>
      </c>
      <c r="H151">
        <v>0.2</v>
      </c>
      <c r="I151">
        <v>0</v>
      </c>
    </row>
    <row r="152" spans="1:9">
      <c r="A152" s="6">
        <v>44847</v>
      </c>
      <c r="B152" t="s">
        <v>375</v>
      </c>
      <c r="C152" t="s">
        <v>376</v>
      </c>
      <c r="E152" t="s">
        <v>387</v>
      </c>
      <c r="F152">
        <v>0</v>
      </c>
      <c r="G152">
        <v>0</v>
      </c>
      <c r="H152">
        <v>9.1999999999999993</v>
      </c>
      <c r="I152">
        <v>49</v>
      </c>
    </row>
    <row r="153" spans="1:9">
      <c r="A153" s="6">
        <v>44848</v>
      </c>
      <c r="B153" t="s">
        <v>375</v>
      </c>
      <c r="C153" t="s">
        <v>376</v>
      </c>
      <c r="E153" t="s">
        <v>388</v>
      </c>
      <c r="F153">
        <v>0</v>
      </c>
      <c r="G153">
        <v>0</v>
      </c>
      <c r="H153">
        <v>14.7</v>
      </c>
      <c r="I153">
        <v>139</v>
      </c>
    </row>
    <row r="154" spans="1:9">
      <c r="A154" s="6">
        <v>44849</v>
      </c>
      <c r="B154" t="s">
        <v>375</v>
      </c>
      <c r="C154" t="s">
        <v>376</v>
      </c>
      <c r="E154" t="s">
        <v>389</v>
      </c>
      <c r="F154">
        <v>0</v>
      </c>
      <c r="G154">
        <v>0</v>
      </c>
      <c r="H154">
        <v>12.3</v>
      </c>
      <c r="I154">
        <v>110</v>
      </c>
    </row>
    <row r="155" spans="1:9">
      <c r="A155" s="6">
        <v>44845</v>
      </c>
      <c r="B155" t="s">
        <v>390</v>
      </c>
      <c r="C155" t="s">
        <v>391</v>
      </c>
      <c r="D155" t="s">
        <v>392</v>
      </c>
      <c r="F155">
        <v>0</v>
      </c>
      <c r="G155">
        <v>0</v>
      </c>
      <c r="H155">
        <v>0.1</v>
      </c>
      <c r="I155">
        <v>18</v>
      </c>
    </row>
    <row r="156" spans="1:9">
      <c r="A156" s="6">
        <v>44846</v>
      </c>
      <c r="B156" t="s">
        <v>390</v>
      </c>
      <c r="C156" t="s">
        <v>391</v>
      </c>
      <c r="D156" t="s">
        <v>393</v>
      </c>
      <c r="F156">
        <v>4.03</v>
      </c>
      <c r="G156">
        <v>440</v>
      </c>
      <c r="H156">
        <v>0</v>
      </c>
      <c r="I156">
        <v>80</v>
      </c>
    </row>
    <row r="157" spans="1:9">
      <c r="A157" s="6">
        <v>44847</v>
      </c>
      <c r="B157" t="s">
        <v>390</v>
      </c>
      <c r="C157" t="s">
        <v>391</v>
      </c>
      <c r="D157" t="s">
        <v>394</v>
      </c>
      <c r="F157">
        <v>0</v>
      </c>
      <c r="G157">
        <v>0</v>
      </c>
      <c r="H157">
        <v>5.5</v>
      </c>
      <c r="I157">
        <v>80</v>
      </c>
    </row>
    <row r="158" spans="1:9">
      <c r="A158" s="6">
        <v>44848</v>
      </c>
      <c r="B158" t="s">
        <v>390</v>
      </c>
      <c r="C158" t="s">
        <v>391</v>
      </c>
      <c r="D158" t="s">
        <v>395</v>
      </c>
      <c r="F158">
        <v>0</v>
      </c>
      <c r="G158">
        <v>0</v>
      </c>
      <c r="H158">
        <v>82.4</v>
      </c>
      <c r="I158">
        <v>25</v>
      </c>
    </row>
    <row r="159" spans="1:9">
      <c r="A159" s="6">
        <v>44849</v>
      </c>
      <c r="B159" t="s">
        <v>390</v>
      </c>
      <c r="C159" t="s">
        <v>391</v>
      </c>
      <c r="D159" t="s">
        <v>396</v>
      </c>
      <c r="F159">
        <v>0</v>
      </c>
      <c r="G159">
        <v>0</v>
      </c>
      <c r="H159">
        <v>0</v>
      </c>
      <c r="I159">
        <v>32</v>
      </c>
    </row>
    <row r="160" spans="1:9">
      <c r="A160" s="6">
        <v>44835</v>
      </c>
      <c r="B160" t="s">
        <v>31</v>
      </c>
      <c r="C160" t="s">
        <v>32</v>
      </c>
      <c r="E160" t="s">
        <v>397</v>
      </c>
      <c r="F160">
        <v>16.12</v>
      </c>
      <c r="G160">
        <v>1500</v>
      </c>
      <c r="H160">
        <v>0.5</v>
      </c>
      <c r="I160">
        <v>192</v>
      </c>
    </row>
    <row r="161" spans="1:9">
      <c r="A161" s="6">
        <v>44837</v>
      </c>
      <c r="B161" t="s">
        <v>31</v>
      </c>
      <c r="C161" t="s">
        <v>32</v>
      </c>
      <c r="E161" t="s">
        <v>398</v>
      </c>
      <c r="F161">
        <v>21.5</v>
      </c>
      <c r="G161">
        <v>2000</v>
      </c>
      <c r="H161">
        <v>178.9</v>
      </c>
      <c r="I161">
        <v>217</v>
      </c>
    </row>
    <row r="162" spans="1:9">
      <c r="A162" s="6">
        <v>44838</v>
      </c>
      <c r="B162" t="s">
        <v>31</v>
      </c>
      <c r="C162" t="s">
        <v>32</v>
      </c>
      <c r="E162" t="s">
        <v>399</v>
      </c>
      <c r="F162">
        <v>5.37</v>
      </c>
      <c r="G162">
        <v>500</v>
      </c>
      <c r="H162">
        <v>193.4</v>
      </c>
      <c r="I162">
        <v>229</v>
      </c>
    </row>
    <row r="163" spans="1:9">
      <c r="A163" s="6">
        <v>44839</v>
      </c>
      <c r="B163" t="s">
        <v>31</v>
      </c>
      <c r="C163" t="s">
        <v>32</v>
      </c>
      <c r="E163" t="s">
        <v>400</v>
      </c>
      <c r="F163">
        <v>0</v>
      </c>
      <c r="G163">
        <v>0</v>
      </c>
      <c r="H163">
        <v>1.9</v>
      </c>
      <c r="I163">
        <v>4</v>
      </c>
    </row>
    <row r="164" spans="1:9">
      <c r="A164" s="6">
        <v>44840</v>
      </c>
      <c r="B164" t="s">
        <v>31</v>
      </c>
      <c r="C164" t="s">
        <v>32</v>
      </c>
      <c r="F164">
        <v>0</v>
      </c>
      <c r="G164">
        <v>0</v>
      </c>
      <c r="H164">
        <v>0.4</v>
      </c>
      <c r="I164">
        <v>0</v>
      </c>
    </row>
    <row r="165" spans="1:9">
      <c r="A165" s="6">
        <v>44841</v>
      </c>
      <c r="B165" t="s">
        <v>31</v>
      </c>
      <c r="C165" t="s">
        <v>32</v>
      </c>
      <c r="F165">
        <v>0</v>
      </c>
      <c r="G165">
        <v>0</v>
      </c>
      <c r="H165">
        <v>207</v>
      </c>
      <c r="I165">
        <v>0</v>
      </c>
    </row>
    <row r="166" spans="1:9">
      <c r="A166" s="6">
        <v>44842</v>
      </c>
      <c r="B166" t="s">
        <v>31</v>
      </c>
      <c r="C166" t="s">
        <v>32</v>
      </c>
      <c r="F166">
        <v>0</v>
      </c>
      <c r="G166">
        <v>0</v>
      </c>
      <c r="H166">
        <v>209.6</v>
      </c>
      <c r="I166">
        <v>0</v>
      </c>
    </row>
    <row r="167" spans="1:9">
      <c r="A167" s="6">
        <v>44844</v>
      </c>
      <c r="B167" t="s">
        <v>31</v>
      </c>
      <c r="C167" t="s">
        <v>32</v>
      </c>
      <c r="E167" t="s">
        <v>401</v>
      </c>
      <c r="F167">
        <v>21.5</v>
      </c>
      <c r="G167">
        <v>2000</v>
      </c>
      <c r="H167">
        <v>0.3</v>
      </c>
      <c r="I167">
        <v>325</v>
      </c>
    </row>
    <row r="168" spans="1:9">
      <c r="A168" s="6">
        <v>44845</v>
      </c>
      <c r="B168" t="s">
        <v>31</v>
      </c>
      <c r="C168" t="s">
        <v>32</v>
      </c>
      <c r="E168" t="s">
        <v>402</v>
      </c>
      <c r="F168">
        <v>26.89</v>
      </c>
      <c r="G168">
        <v>2500</v>
      </c>
      <c r="H168">
        <v>272.5</v>
      </c>
      <c r="I168">
        <v>325</v>
      </c>
    </row>
    <row r="169" spans="1:9">
      <c r="A169" s="6">
        <v>44846</v>
      </c>
      <c r="B169" t="s">
        <v>31</v>
      </c>
      <c r="C169" t="s">
        <v>32</v>
      </c>
      <c r="F169">
        <v>0</v>
      </c>
      <c r="G169">
        <v>0</v>
      </c>
      <c r="H169">
        <v>0.4</v>
      </c>
      <c r="I169">
        <v>0</v>
      </c>
    </row>
    <row r="170" spans="1:9">
      <c r="A170" s="6">
        <v>44848</v>
      </c>
      <c r="B170" t="s">
        <v>31</v>
      </c>
      <c r="C170" t="s">
        <v>32</v>
      </c>
      <c r="F170">
        <v>0</v>
      </c>
      <c r="G170">
        <v>0</v>
      </c>
      <c r="H170">
        <v>1.8</v>
      </c>
      <c r="I170">
        <v>0</v>
      </c>
    </row>
    <row r="171" spans="1:9">
      <c r="A171" s="6">
        <v>44849</v>
      </c>
      <c r="B171" t="s">
        <v>31</v>
      </c>
      <c r="C171" t="s">
        <v>32</v>
      </c>
      <c r="F171">
        <v>0</v>
      </c>
      <c r="G171">
        <v>0</v>
      </c>
      <c r="H171">
        <v>1.6</v>
      </c>
      <c r="I171">
        <v>0</v>
      </c>
    </row>
    <row r="172" spans="1:9">
      <c r="A172" s="6">
        <v>44835</v>
      </c>
      <c r="B172" t="s">
        <v>25</v>
      </c>
      <c r="C172" t="s">
        <v>26</v>
      </c>
      <c r="E172" t="s">
        <v>403</v>
      </c>
      <c r="F172">
        <v>0</v>
      </c>
      <c r="G172">
        <v>0</v>
      </c>
      <c r="H172">
        <v>0.3</v>
      </c>
      <c r="I172">
        <v>58</v>
      </c>
    </row>
    <row r="173" spans="1:9">
      <c r="A173" s="6">
        <v>44837</v>
      </c>
      <c r="B173" t="s">
        <v>25</v>
      </c>
      <c r="C173" t="s">
        <v>26</v>
      </c>
      <c r="E173" t="s">
        <v>404</v>
      </c>
      <c r="F173">
        <v>9.42</v>
      </c>
      <c r="G173">
        <v>1000</v>
      </c>
      <c r="H173">
        <v>62.6</v>
      </c>
      <c r="I173">
        <v>67</v>
      </c>
    </row>
    <row r="174" spans="1:9">
      <c r="A174" s="6">
        <v>44838</v>
      </c>
      <c r="B174" t="s">
        <v>25</v>
      </c>
      <c r="C174" t="s">
        <v>26</v>
      </c>
      <c r="E174" t="s">
        <v>405</v>
      </c>
      <c r="F174">
        <v>0</v>
      </c>
      <c r="G174">
        <v>0</v>
      </c>
      <c r="H174">
        <v>33.299999999999997</v>
      </c>
      <c r="I174">
        <v>35</v>
      </c>
    </row>
    <row r="175" spans="1:9">
      <c r="A175" s="6">
        <v>44840</v>
      </c>
      <c r="B175" t="s">
        <v>25</v>
      </c>
      <c r="C175" t="s">
        <v>26</v>
      </c>
      <c r="E175" t="s">
        <v>406</v>
      </c>
      <c r="F175">
        <v>0</v>
      </c>
      <c r="G175">
        <v>0</v>
      </c>
      <c r="H175">
        <v>75.2</v>
      </c>
      <c r="I175">
        <v>87</v>
      </c>
    </row>
    <row r="176" spans="1:9">
      <c r="A176" s="6">
        <v>44841</v>
      </c>
      <c r="B176" t="s">
        <v>25</v>
      </c>
      <c r="C176" t="s">
        <v>26</v>
      </c>
      <c r="E176" t="s">
        <v>407</v>
      </c>
      <c r="F176">
        <v>9.42</v>
      </c>
      <c r="G176">
        <v>1000</v>
      </c>
      <c r="H176">
        <v>10.8</v>
      </c>
      <c r="I176">
        <v>62</v>
      </c>
    </row>
    <row r="177" spans="1:9">
      <c r="A177" s="6">
        <v>44842</v>
      </c>
      <c r="B177" t="s">
        <v>25</v>
      </c>
      <c r="C177" t="s">
        <v>26</v>
      </c>
      <c r="E177" t="s">
        <v>408</v>
      </c>
      <c r="F177">
        <v>0</v>
      </c>
      <c r="G177">
        <v>0</v>
      </c>
      <c r="H177">
        <v>13.6</v>
      </c>
      <c r="I177">
        <v>40</v>
      </c>
    </row>
    <row r="178" spans="1:9">
      <c r="A178" s="6">
        <v>44843</v>
      </c>
      <c r="B178" t="s">
        <v>25</v>
      </c>
      <c r="C178" t="s">
        <v>26</v>
      </c>
      <c r="E178" t="s">
        <v>409</v>
      </c>
      <c r="F178">
        <v>14.11</v>
      </c>
      <c r="G178">
        <v>1500</v>
      </c>
      <c r="H178">
        <v>83.7</v>
      </c>
      <c r="I178">
        <v>229</v>
      </c>
    </row>
    <row r="179" spans="1:9">
      <c r="A179" s="6">
        <v>44844</v>
      </c>
      <c r="B179" t="s">
        <v>25</v>
      </c>
      <c r="C179" t="s">
        <v>26</v>
      </c>
      <c r="E179" t="s">
        <v>410</v>
      </c>
      <c r="F179">
        <v>9.42</v>
      </c>
      <c r="G179">
        <v>1000</v>
      </c>
      <c r="H179">
        <v>105</v>
      </c>
      <c r="I179">
        <v>108</v>
      </c>
    </row>
    <row r="180" spans="1:9">
      <c r="A180" s="6">
        <v>44845</v>
      </c>
      <c r="B180" t="s">
        <v>25</v>
      </c>
      <c r="C180" t="s">
        <v>26</v>
      </c>
      <c r="E180" t="s">
        <v>411</v>
      </c>
      <c r="F180">
        <v>9.15</v>
      </c>
      <c r="G180">
        <v>1000</v>
      </c>
      <c r="H180">
        <v>77.7</v>
      </c>
      <c r="I180">
        <v>136</v>
      </c>
    </row>
    <row r="181" spans="1:9">
      <c r="A181" s="6">
        <v>44846</v>
      </c>
      <c r="B181" t="s">
        <v>25</v>
      </c>
      <c r="C181" t="s">
        <v>26</v>
      </c>
      <c r="E181" t="s">
        <v>412</v>
      </c>
      <c r="F181">
        <v>9.41</v>
      </c>
      <c r="G181">
        <v>1000</v>
      </c>
      <c r="H181">
        <v>50</v>
      </c>
      <c r="I181">
        <v>65</v>
      </c>
    </row>
    <row r="182" spans="1:9">
      <c r="A182" s="6">
        <v>44847</v>
      </c>
      <c r="B182" t="s">
        <v>25</v>
      </c>
      <c r="C182" t="s">
        <v>26</v>
      </c>
      <c r="F182">
        <v>0</v>
      </c>
      <c r="G182">
        <v>0</v>
      </c>
      <c r="H182">
        <v>0.7</v>
      </c>
      <c r="I182">
        <v>0</v>
      </c>
    </row>
    <row r="183" spans="1:9">
      <c r="A183" s="6">
        <v>44848</v>
      </c>
      <c r="B183" t="s">
        <v>25</v>
      </c>
      <c r="C183" t="s">
        <v>26</v>
      </c>
      <c r="E183" t="s">
        <v>413</v>
      </c>
      <c r="F183">
        <v>0</v>
      </c>
      <c r="G183">
        <v>0</v>
      </c>
      <c r="H183">
        <v>13.4</v>
      </c>
      <c r="I183">
        <v>15</v>
      </c>
    </row>
    <row r="184" spans="1:9">
      <c r="A184" s="6">
        <v>44849</v>
      </c>
      <c r="B184" t="s">
        <v>25</v>
      </c>
      <c r="C184" t="s">
        <v>26</v>
      </c>
      <c r="E184" t="s">
        <v>414</v>
      </c>
      <c r="F184">
        <v>0</v>
      </c>
      <c r="G184">
        <v>0</v>
      </c>
      <c r="H184">
        <v>44.6</v>
      </c>
      <c r="I184">
        <v>61</v>
      </c>
    </row>
    <row r="185" spans="1:9">
      <c r="A185" s="6">
        <v>44835</v>
      </c>
      <c r="B185" t="s">
        <v>57</v>
      </c>
      <c r="C185" t="s">
        <v>58</v>
      </c>
      <c r="E185" t="s">
        <v>415</v>
      </c>
      <c r="F185">
        <v>0</v>
      </c>
      <c r="G185">
        <v>0</v>
      </c>
      <c r="H185">
        <v>0</v>
      </c>
      <c r="I185">
        <v>10</v>
      </c>
    </row>
    <row r="186" spans="1:9">
      <c r="A186" s="6">
        <v>44837</v>
      </c>
      <c r="B186" t="s">
        <v>57</v>
      </c>
      <c r="C186" t="s">
        <v>58</v>
      </c>
      <c r="E186" t="s">
        <v>416</v>
      </c>
      <c r="F186">
        <v>0</v>
      </c>
      <c r="G186">
        <v>0</v>
      </c>
      <c r="H186">
        <v>1.3</v>
      </c>
      <c r="I186">
        <v>23</v>
      </c>
    </row>
    <row r="187" spans="1:9">
      <c r="A187" s="6">
        <v>44838</v>
      </c>
      <c r="B187" t="s">
        <v>57</v>
      </c>
      <c r="C187" t="s">
        <v>58</v>
      </c>
      <c r="E187" t="s">
        <v>417</v>
      </c>
      <c r="F187">
        <v>0</v>
      </c>
      <c r="G187">
        <v>0</v>
      </c>
      <c r="H187">
        <v>106.6</v>
      </c>
      <c r="I187">
        <v>11</v>
      </c>
    </row>
    <row r="188" spans="1:9">
      <c r="A188" s="6">
        <v>44840</v>
      </c>
      <c r="B188" t="s">
        <v>57</v>
      </c>
      <c r="C188" t="s">
        <v>58</v>
      </c>
      <c r="E188" t="s">
        <v>418</v>
      </c>
      <c r="F188">
        <v>0</v>
      </c>
      <c r="G188">
        <v>0</v>
      </c>
      <c r="H188">
        <v>72</v>
      </c>
      <c r="I188">
        <v>6</v>
      </c>
    </row>
    <row r="189" spans="1:9">
      <c r="A189" s="6">
        <v>44841</v>
      </c>
      <c r="B189" t="s">
        <v>57</v>
      </c>
      <c r="C189" t="s">
        <v>58</v>
      </c>
      <c r="E189" t="s">
        <v>419</v>
      </c>
      <c r="F189">
        <v>0</v>
      </c>
      <c r="G189">
        <v>0</v>
      </c>
      <c r="H189">
        <v>205.5</v>
      </c>
      <c r="I189">
        <v>4</v>
      </c>
    </row>
    <row r="190" spans="1:9">
      <c r="A190" s="6">
        <v>44842</v>
      </c>
      <c r="B190" t="s">
        <v>57</v>
      </c>
      <c r="C190" t="s">
        <v>58</v>
      </c>
      <c r="E190" t="s">
        <v>420</v>
      </c>
      <c r="F190">
        <v>0</v>
      </c>
      <c r="G190">
        <v>0</v>
      </c>
      <c r="H190">
        <v>2.2000000000000002</v>
      </c>
      <c r="I190">
        <v>9</v>
      </c>
    </row>
    <row r="191" spans="1:9">
      <c r="A191" s="6">
        <v>44844</v>
      </c>
      <c r="B191" t="s">
        <v>57</v>
      </c>
      <c r="C191" t="s">
        <v>58</v>
      </c>
      <c r="E191" t="s">
        <v>421</v>
      </c>
      <c r="F191">
        <v>4.72</v>
      </c>
      <c r="G191">
        <v>500</v>
      </c>
      <c r="H191">
        <v>77.2</v>
      </c>
      <c r="I191">
        <v>81</v>
      </c>
    </row>
    <row r="192" spans="1:9">
      <c r="A192" s="6">
        <v>44845</v>
      </c>
      <c r="B192" t="s">
        <v>57</v>
      </c>
      <c r="C192" t="s">
        <v>58</v>
      </c>
      <c r="E192" t="s">
        <v>422</v>
      </c>
      <c r="F192">
        <v>0</v>
      </c>
      <c r="G192">
        <v>0</v>
      </c>
      <c r="H192">
        <v>81</v>
      </c>
      <c r="I192">
        <v>22</v>
      </c>
    </row>
    <row r="193" spans="1:9">
      <c r="A193" s="6">
        <v>44846</v>
      </c>
      <c r="B193" t="s">
        <v>57</v>
      </c>
      <c r="C193" t="s">
        <v>58</v>
      </c>
      <c r="E193" t="s">
        <v>423</v>
      </c>
      <c r="F193">
        <v>0</v>
      </c>
      <c r="G193">
        <v>0</v>
      </c>
      <c r="H193">
        <v>30.5</v>
      </c>
      <c r="I193">
        <v>5</v>
      </c>
    </row>
    <row r="194" spans="1:9">
      <c r="A194" s="6">
        <v>44847</v>
      </c>
      <c r="B194" t="s">
        <v>57</v>
      </c>
      <c r="C194" t="s">
        <v>58</v>
      </c>
      <c r="E194" t="s">
        <v>424</v>
      </c>
      <c r="F194">
        <v>0</v>
      </c>
      <c r="G194">
        <v>0</v>
      </c>
      <c r="H194">
        <v>39.6</v>
      </c>
      <c r="I194">
        <v>10</v>
      </c>
    </row>
    <row r="195" spans="1:9">
      <c r="A195" s="6">
        <v>44848</v>
      </c>
      <c r="B195" t="s">
        <v>57</v>
      </c>
      <c r="C195" t="s">
        <v>58</v>
      </c>
      <c r="E195" t="s">
        <v>425</v>
      </c>
      <c r="F195">
        <v>0</v>
      </c>
      <c r="G195">
        <v>0</v>
      </c>
      <c r="H195">
        <v>2.1</v>
      </c>
      <c r="I195">
        <v>6</v>
      </c>
    </row>
    <row r="196" spans="1:9">
      <c r="A196" s="6">
        <v>44849</v>
      </c>
      <c r="B196" t="s">
        <v>57</v>
      </c>
      <c r="C196" t="s">
        <v>58</v>
      </c>
      <c r="E196" t="s">
        <v>426</v>
      </c>
      <c r="F196">
        <v>0</v>
      </c>
      <c r="G196">
        <v>0</v>
      </c>
      <c r="H196">
        <v>98</v>
      </c>
      <c r="I196">
        <v>122</v>
      </c>
    </row>
    <row r="197" spans="1:9">
      <c r="A197" s="6">
        <v>44835</v>
      </c>
      <c r="B197" t="s">
        <v>96</v>
      </c>
      <c r="C197" t="s">
        <v>97</v>
      </c>
      <c r="E197" t="s">
        <v>427</v>
      </c>
      <c r="F197">
        <v>0</v>
      </c>
      <c r="G197">
        <v>0</v>
      </c>
      <c r="H197">
        <v>0.1</v>
      </c>
      <c r="I197">
        <v>35</v>
      </c>
    </row>
    <row r="198" spans="1:9">
      <c r="A198" s="6">
        <v>44837</v>
      </c>
      <c r="B198" t="s">
        <v>96</v>
      </c>
      <c r="C198" t="s">
        <v>97</v>
      </c>
      <c r="E198" t="s">
        <v>428</v>
      </c>
      <c r="F198">
        <v>0</v>
      </c>
      <c r="G198">
        <v>0</v>
      </c>
      <c r="H198">
        <v>1.7</v>
      </c>
      <c r="I198">
        <v>80</v>
      </c>
    </row>
    <row r="199" spans="1:9">
      <c r="A199" s="6">
        <v>44838</v>
      </c>
      <c r="B199" t="s">
        <v>96</v>
      </c>
      <c r="C199" t="s">
        <v>97</v>
      </c>
      <c r="E199" t="s">
        <v>429</v>
      </c>
      <c r="F199">
        <v>0</v>
      </c>
      <c r="G199">
        <v>0</v>
      </c>
      <c r="H199">
        <v>9.3000000000000007</v>
      </c>
      <c r="I199">
        <v>68</v>
      </c>
    </row>
    <row r="200" spans="1:9">
      <c r="A200" s="6">
        <v>44840</v>
      </c>
      <c r="B200" t="s">
        <v>96</v>
      </c>
      <c r="C200" t="s">
        <v>97</v>
      </c>
      <c r="E200" t="s">
        <v>430</v>
      </c>
      <c r="F200">
        <v>0</v>
      </c>
      <c r="G200">
        <v>0</v>
      </c>
      <c r="H200">
        <v>5.6</v>
      </c>
      <c r="I200">
        <v>33</v>
      </c>
    </row>
    <row r="201" spans="1:9">
      <c r="A201" s="6">
        <v>44841</v>
      </c>
      <c r="B201" t="s">
        <v>96</v>
      </c>
      <c r="C201" t="s">
        <v>97</v>
      </c>
      <c r="E201" t="s">
        <v>431</v>
      </c>
      <c r="F201">
        <v>5.47</v>
      </c>
      <c r="G201">
        <v>600</v>
      </c>
      <c r="H201">
        <v>8.1</v>
      </c>
      <c r="I201">
        <v>38</v>
      </c>
    </row>
    <row r="202" spans="1:9">
      <c r="A202" s="6">
        <v>44842</v>
      </c>
      <c r="B202" t="s">
        <v>96</v>
      </c>
      <c r="C202" t="s">
        <v>97</v>
      </c>
      <c r="E202" t="s">
        <v>432</v>
      </c>
      <c r="F202">
        <v>0</v>
      </c>
      <c r="G202">
        <v>0</v>
      </c>
      <c r="H202">
        <v>0.1</v>
      </c>
      <c r="I202">
        <v>14</v>
      </c>
    </row>
    <row r="203" spans="1:9">
      <c r="A203" s="6">
        <v>44844</v>
      </c>
      <c r="B203" t="s">
        <v>96</v>
      </c>
      <c r="C203" t="s">
        <v>97</v>
      </c>
      <c r="E203" t="s">
        <v>433</v>
      </c>
      <c r="F203">
        <v>0</v>
      </c>
      <c r="G203">
        <v>0</v>
      </c>
      <c r="H203">
        <v>14.1</v>
      </c>
      <c r="I203">
        <v>56</v>
      </c>
    </row>
    <row r="204" spans="1:9">
      <c r="A204" s="6">
        <v>44845</v>
      </c>
      <c r="B204" t="s">
        <v>96</v>
      </c>
      <c r="C204" t="s">
        <v>97</v>
      </c>
      <c r="E204" t="s">
        <v>434</v>
      </c>
      <c r="F204">
        <v>0</v>
      </c>
      <c r="G204">
        <v>0</v>
      </c>
      <c r="H204">
        <v>5.8</v>
      </c>
      <c r="I204">
        <v>61</v>
      </c>
    </row>
    <row r="205" spans="1:9">
      <c r="A205" s="6">
        <v>44846</v>
      </c>
      <c r="B205" t="s">
        <v>96</v>
      </c>
      <c r="C205" t="s">
        <v>97</v>
      </c>
      <c r="E205" t="s">
        <v>435</v>
      </c>
      <c r="F205">
        <v>5.47</v>
      </c>
      <c r="G205">
        <v>600</v>
      </c>
      <c r="H205">
        <v>10.3</v>
      </c>
      <c r="I205">
        <v>96</v>
      </c>
    </row>
    <row r="206" spans="1:9">
      <c r="A206" s="6">
        <v>44847</v>
      </c>
      <c r="B206" t="s">
        <v>96</v>
      </c>
      <c r="C206" t="s">
        <v>97</v>
      </c>
      <c r="E206" t="s">
        <v>436</v>
      </c>
      <c r="F206">
        <v>0</v>
      </c>
      <c r="G206">
        <v>0</v>
      </c>
      <c r="H206">
        <v>1.6</v>
      </c>
      <c r="I206">
        <v>72</v>
      </c>
    </row>
    <row r="207" spans="1:9">
      <c r="A207" s="6">
        <v>44848</v>
      </c>
      <c r="B207" t="s">
        <v>96</v>
      </c>
      <c r="C207" t="s">
        <v>97</v>
      </c>
      <c r="E207" t="s">
        <v>437</v>
      </c>
      <c r="F207">
        <v>5.47</v>
      </c>
      <c r="G207">
        <v>600</v>
      </c>
      <c r="H207">
        <v>66.099999999999994</v>
      </c>
      <c r="I207">
        <v>113</v>
      </c>
    </row>
    <row r="208" spans="1:9">
      <c r="A208" s="6">
        <v>44849</v>
      </c>
      <c r="B208" t="s">
        <v>96</v>
      </c>
      <c r="C208" t="s">
        <v>97</v>
      </c>
      <c r="E208" t="s">
        <v>438</v>
      </c>
      <c r="F208">
        <v>0</v>
      </c>
      <c r="G208">
        <v>0</v>
      </c>
      <c r="H208">
        <v>2.4</v>
      </c>
      <c r="I208">
        <v>7</v>
      </c>
    </row>
    <row r="209" spans="1:9">
      <c r="A209" s="6">
        <v>44839</v>
      </c>
      <c r="B209" t="s">
        <v>86</v>
      </c>
      <c r="C209" t="s">
        <v>87</v>
      </c>
      <c r="F209">
        <v>10.88</v>
      </c>
      <c r="G209">
        <v>1000</v>
      </c>
      <c r="H209">
        <v>2.8</v>
      </c>
      <c r="I209">
        <v>0</v>
      </c>
    </row>
    <row r="210" spans="1:9">
      <c r="A210" s="6">
        <v>44841</v>
      </c>
      <c r="B210" t="s">
        <v>86</v>
      </c>
      <c r="C210" t="s">
        <v>87</v>
      </c>
      <c r="F210">
        <v>0</v>
      </c>
      <c r="G210">
        <v>0</v>
      </c>
      <c r="H210">
        <v>0.3</v>
      </c>
      <c r="I210">
        <v>0</v>
      </c>
    </row>
    <row r="211" spans="1:9">
      <c r="A211" s="6">
        <v>44844</v>
      </c>
      <c r="B211" t="s">
        <v>86</v>
      </c>
      <c r="C211" t="s">
        <v>87</v>
      </c>
      <c r="F211">
        <v>13.06</v>
      </c>
      <c r="G211">
        <v>1200</v>
      </c>
      <c r="H211">
        <v>0</v>
      </c>
      <c r="I211">
        <v>0</v>
      </c>
    </row>
    <row r="212" spans="1:9">
      <c r="A212" s="6">
        <v>44845</v>
      </c>
      <c r="B212" t="s">
        <v>86</v>
      </c>
      <c r="C212" t="s">
        <v>87</v>
      </c>
      <c r="F212">
        <v>8.16</v>
      </c>
      <c r="G212">
        <v>750</v>
      </c>
      <c r="H212">
        <v>0.3</v>
      </c>
      <c r="I212">
        <v>0</v>
      </c>
    </row>
    <row r="213" spans="1:9">
      <c r="A213" s="6">
        <v>44846</v>
      </c>
      <c r="B213" t="s">
        <v>86</v>
      </c>
      <c r="C213" t="s">
        <v>87</v>
      </c>
      <c r="F213">
        <v>0</v>
      </c>
      <c r="G213">
        <v>0</v>
      </c>
      <c r="H213">
        <v>0</v>
      </c>
      <c r="I213">
        <v>0</v>
      </c>
    </row>
    <row r="214" spans="1:9">
      <c r="A214" s="6">
        <v>44835</v>
      </c>
      <c r="B214" t="s">
        <v>74</v>
      </c>
      <c r="C214" t="s">
        <v>75</v>
      </c>
      <c r="E214" t="s">
        <v>439</v>
      </c>
      <c r="F214">
        <v>20.67</v>
      </c>
      <c r="G214">
        <v>2000</v>
      </c>
      <c r="H214">
        <v>185.2</v>
      </c>
      <c r="I214">
        <v>252</v>
      </c>
    </row>
    <row r="215" spans="1:9">
      <c r="A215" s="6">
        <v>44837</v>
      </c>
      <c r="B215" t="s">
        <v>74</v>
      </c>
      <c r="C215" t="s">
        <v>75</v>
      </c>
      <c r="E215" t="s">
        <v>440</v>
      </c>
      <c r="F215">
        <v>15.5</v>
      </c>
      <c r="G215">
        <v>1500</v>
      </c>
      <c r="H215">
        <v>160.69999999999999</v>
      </c>
      <c r="I215">
        <v>207</v>
      </c>
    </row>
    <row r="216" spans="1:9">
      <c r="A216" s="6">
        <v>44838</v>
      </c>
      <c r="B216" t="s">
        <v>74</v>
      </c>
      <c r="C216" t="s">
        <v>75</v>
      </c>
      <c r="E216" t="s">
        <v>441</v>
      </c>
      <c r="F216">
        <v>5.17</v>
      </c>
      <c r="G216">
        <v>500</v>
      </c>
      <c r="H216">
        <v>40.5</v>
      </c>
      <c r="I216">
        <v>132</v>
      </c>
    </row>
    <row r="217" spans="1:9">
      <c r="A217" s="6">
        <v>44844</v>
      </c>
      <c r="B217" t="s">
        <v>74</v>
      </c>
      <c r="C217" t="s">
        <v>75</v>
      </c>
      <c r="E217" t="s">
        <v>442</v>
      </c>
      <c r="F217">
        <v>0</v>
      </c>
      <c r="G217">
        <v>0</v>
      </c>
      <c r="H217">
        <v>13</v>
      </c>
      <c r="I217">
        <v>0</v>
      </c>
    </row>
    <row r="218" spans="1:9">
      <c r="A218" s="6">
        <v>44845</v>
      </c>
      <c r="B218" t="s">
        <v>74</v>
      </c>
      <c r="C218" t="s">
        <v>75</v>
      </c>
      <c r="E218" t="s">
        <v>443</v>
      </c>
      <c r="F218">
        <v>10.33</v>
      </c>
      <c r="G218">
        <v>1000</v>
      </c>
      <c r="H218">
        <v>100.4</v>
      </c>
      <c r="I218">
        <v>106</v>
      </c>
    </row>
    <row r="219" spans="1:9">
      <c r="A219" s="6">
        <v>44846</v>
      </c>
      <c r="B219" t="s">
        <v>74</v>
      </c>
      <c r="C219" t="s">
        <v>75</v>
      </c>
      <c r="E219" t="s">
        <v>444</v>
      </c>
      <c r="F219">
        <v>10.34</v>
      </c>
      <c r="G219">
        <v>1000</v>
      </c>
      <c r="H219">
        <v>148.19999999999999</v>
      </c>
      <c r="I219">
        <v>139</v>
      </c>
    </row>
    <row r="220" spans="1:9">
      <c r="A220" s="6">
        <v>44848</v>
      </c>
      <c r="B220" t="s">
        <v>74</v>
      </c>
      <c r="C220" t="s">
        <v>75</v>
      </c>
      <c r="E220" t="s">
        <v>445</v>
      </c>
      <c r="F220">
        <v>0</v>
      </c>
      <c r="G220">
        <v>0</v>
      </c>
      <c r="H220">
        <v>0.2</v>
      </c>
      <c r="I220">
        <v>11</v>
      </c>
    </row>
    <row r="221" spans="1:9">
      <c r="A221" s="6">
        <v>44849</v>
      </c>
      <c r="B221" t="s">
        <v>74</v>
      </c>
      <c r="C221" t="s">
        <v>75</v>
      </c>
      <c r="E221" t="s">
        <v>446</v>
      </c>
      <c r="F221">
        <v>0</v>
      </c>
      <c r="G221">
        <v>0</v>
      </c>
      <c r="H221">
        <v>40.700000000000003</v>
      </c>
      <c r="I221">
        <v>0</v>
      </c>
    </row>
    <row r="222" spans="1:9">
      <c r="A222" s="6">
        <v>44835</v>
      </c>
      <c r="B222" t="s">
        <v>59</v>
      </c>
      <c r="C222" t="s">
        <v>60</v>
      </c>
      <c r="E222" t="s">
        <v>447</v>
      </c>
      <c r="F222">
        <v>4</v>
      </c>
      <c r="G222">
        <v>426.24</v>
      </c>
      <c r="H222">
        <v>0.2</v>
      </c>
      <c r="I222">
        <v>27</v>
      </c>
    </row>
    <row r="223" spans="1:9">
      <c r="A223" s="6">
        <v>44837</v>
      </c>
      <c r="B223" t="s">
        <v>59</v>
      </c>
      <c r="C223" t="s">
        <v>60</v>
      </c>
      <c r="E223" t="s">
        <v>448</v>
      </c>
      <c r="F223">
        <v>0</v>
      </c>
      <c r="G223">
        <v>0</v>
      </c>
      <c r="H223">
        <v>1.8</v>
      </c>
      <c r="I223">
        <v>60</v>
      </c>
    </row>
    <row r="224" spans="1:9">
      <c r="A224" s="6">
        <v>44838</v>
      </c>
      <c r="B224" t="s">
        <v>59</v>
      </c>
      <c r="C224" t="s">
        <v>60</v>
      </c>
      <c r="E224" t="s">
        <v>449</v>
      </c>
      <c r="F224">
        <v>0.94</v>
      </c>
      <c r="G224">
        <v>100</v>
      </c>
      <c r="H224">
        <v>1.5</v>
      </c>
      <c r="I224">
        <v>86</v>
      </c>
    </row>
    <row r="225" spans="1:9">
      <c r="A225" s="6">
        <v>44840</v>
      </c>
      <c r="B225" t="s">
        <v>59</v>
      </c>
      <c r="C225" t="s">
        <v>60</v>
      </c>
      <c r="E225" t="s">
        <v>450</v>
      </c>
      <c r="F225">
        <v>2</v>
      </c>
      <c r="G225">
        <v>213</v>
      </c>
      <c r="H225">
        <v>0</v>
      </c>
      <c r="I225">
        <v>35</v>
      </c>
    </row>
    <row r="226" spans="1:9">
      <c r="A226" s="6">
        <v>44841</v>
      </c>
      <c r="B226" t="s">
        <v>59</v>
      </c>
      <c r="C226" t="s">
        <v>60</v>
      </c>
      <c r="E226" t="s">
        <v>451</v>
      </c>
      <c r="F226">
        <v>0</v>
      </c>
      <c r="G226">
        <v>0</v>
      </c>
      <c r="H226">
        <v>0.4</v>
      </c>
      <c r="I226">
        <v>16</v>
      </c>
    </row>
    <row r="227" spans="1:9">
      <c r="A227" s="6">
        <v>44842</v>
      </c>
      <c r="B227" t="s">
        <v>59</v>
      </c>
      <c r="C227" t="s">
        <v>60</v>
      </c>
      <c r="F227">
        <v>0</v>
      </c>
      <c r="G227">
        <v>0</v>
      </c>
      <c r="H227">
        <v>1.8</v>
      </c>
      <c r="I227">
        <v>0</v>
      </c>
    </row>
    <row r="228" spans="1:9">
      <c r="A228" s="6">
        <v>44844</v>
      </c>
      <c r="B228" t="s">
        <v>59</v>
      </c>
      <c r="C228" t="s">
        <v>60</v>
      </c>
      <c r="E228" t="s">
        <v>452</v>
      </c>
      <c r="F228">
        <v>1.03</v>
      </c>
      <c r="G228">
        <v>110</v>
      </c>
      <c r="H228">
        <v>0.3</v>
      </c>
      <c r="I228">
        <v>29</v>
      </c>
    </row>
    <row r="229" spans="1:9">
      <c r="A229" s="6">
        <v>44845</v>
      </c>
      <c r="B229" t="s">
        <v>59</v>
      </c>
      <c r="C229" t="s">
        <v>60</v>
      </c>
      <c r="E229" t="s">
        <v>453</v>
      </c>
      <c r="F229">
        <v>0</v>
      </c>
      <c r="G229">
        <v>0</v>
      </c>
      <c r="H229">
        <v>3.5</v>
      </c>
      <c r="I229">
        <v>23</v>
      </c>
    </row>
    <row r="230" spans="1:9">
      <c r="A230" s="6">
        <v>44846</v>
      </c>
      <c r="B230" t="s">
        <v>59</v>
      </c>
      <c r="C230" t="s">
        <v>60</v>
      </c>
      <c r="E230" t="s">
        <v>454</v>
      </c>
      <c r="F230">
        <v>0</v>
      </c>
      <c r="G230">
        <v>0</v>
      </c>
      <c r="H230">
        <v>68</v>
      </c>
      <c r="I230">
        <v>11</v>
      </c>
    </row>
    <row r="231" spans="1:9">
      <c r="A231" s="6">
        <v>44847</v>
      </c>
      <c r="B231" t="s">
        <v>59</v>
      </c>
      <c r="C231" t="s">
        <v>60</v>
      </c>
      <c r="E231" t="s">
        <v>455</v>
      </c>
      <c r="F231">
        <v>4</v>
      </c>
      <c r="G231">
        <v>426.24</v>
      </c>
      <c r="H231">
        <v>1.7</v>
      </c>
      <c r="I231">
        <v>44</v>
      </c>
    </row>
    <row r="232" spans="1:9">
      <c r="A232" s="6">
        <v>44848</v>
      </c>
      <c r="B232" t="s">
        <v>59</v>
      </c>
      <c r="C232" t="s">
        <v>60</v>
      </c>
      <c r="E232" t="s">
        <v>456</v>
      </c>
      <c r="F232">
        <v>0</v>
      </c>
      <c r="G232">
        <v>0</v>
      </c>
      <c r="H232">
        <v>0.2</v>
      </c>
      <c r="I232">
        <v>41</v>
      </c>
    </row>
    <row r="233" spans="1:9">
      <c r="A233" s="6">
        <v>44849</v>
      </c>
      <c r="B233" t="s">
        <v>59</v>
      </c>
      <c r="C233" t="s">
        <v>60</v>
      </c>
      <c r="E233" t="s">
        <v>457</v>
      </c>
      <c r="F233">
        <v>0</v>
      </c>
      <c r="G233">
        <v>0</v>
      </c>
      <c r="H233">
        <v>1.8</v>
      </c>
      <c r="I233">
        <v>46</v>
      </c>
    </row>
    <row r="234" spans="1:9">
      <c r="A234" s="6">
        <v>44835</v>
      </c>
      <c r="B234" t="s">
        <v>458</v>
      </c>
      <c r="C234" t="s">
        <v>459</v>
      </c>
      <c r="D234" t="s">
        <v>460</v>
      </c>
      <c r="F234">
        <v>0</v>
      </c>
      <c r="G234">
        <v>0</v>
      </c>
      <c r="H234">
        <v>52</v>
      </c>
      <c r="I234">
        <v>14</v>
      </c>
    </row>
    <row r="235" spans="1:9">
      <c r="A235" s="6">
        <v>44836</v>
      </c>
      <c r="B235" t="s">
        <v>458</v>
      </c>
      <c r="C235" t="s">
        <v>459</v>
      </c>
      <c r="D235" t="s">
        <v>461</v>
      </c>
      <c r="F235">
        <v>4.2300000000000004</v>
      </c>
      <c r="G235">
        <v>410</v>
      </c>
      <c r="H235">
        <v>46.8</v>
      </c>
      <c r="I235">
        <v>61</v>
      </c>
    </row>
    <row r="236" spans="1:9">
      <c r="A236" s="6">
        <v>44837</v>
      </c>
      <c r="B236" t="s">
        <v>458</v>
      </c>
      <c r="C236" t="s">
        <v>459</v>
      </c>
      <c r="D236" t="s">
        <v>462</v>
      </c>
      <c r="F236">
        <v>0</v>
      </c>
      <c r="G236">
        <v>0</v>
      </c>
      <c r="H236">
        <v>52.7</v>
      </c>
      <c r="I236">
        <v>33</v>
      </c>
    </row>
    <row r="237" spans="1:9">
      <c r="A237" s="6">
        <v>44838</v>
      </c>
      <c r="B237" t="s">
        <v>458</v>
      </c>
      <c r="C237" t="s">
        <v>459</v>
      </c>
      <c r="D237" t="s">
        <v>463</v>
      </c>
      <c r="F237">
        <v>0</v>
      </c>
      <c r="G237">
        <v>0</v>
      </c>
      <c r="H237">
        <v>54.8</v>
      </c>
      <c r="I237">
        <v>63</v>
      </c>
    </row>
    <row r="238" spans="1:9">
      <c r="A238" s="6">
        <v>44839</v>
      </c>
      <c r="B238" t="s">
        <v>458</v>
      </c>
      <c r="C238" t="s">
        <v>459</v>
      </c>
      <c r="D238" t="s">
        <v>464</v>
      </c>
      <c r="F238">
        <v>0</v>
      </c>
      <c r="G238">
        <v>0</v>
      </c>
      <c r="H238">
        <v>25.1</v>
      </c>
      <c r="I238">
        <v>27</v>
      </c>
    </row>
    <row r="239" spans="1:9">
      <c r="A239" s="6">
        <v>44840</v>
      </c>
      <c r="B239" t="s">
        <v>458</v>
      </c>
      <c r="C239" t="s">
        <v>459</v>
      </c>
      <c r="D239" t="s">
        <v>465</v>
      </c>
      <c r="F239">
        <v>0</v>
      </c>
      <c r="G239">
        <v>0</v>
      </c>
      <c r="H239">
        <v>41</v>
      </c>
      <c r="I239">
        <v>46</v>
      </c>
    </row>
    <row r="240" spans="1:9">
      <c r="A240" s="6">
        <v>44841</v>
      </c>
      <c r="B240" t="s">
        <v>458</v>
      </c>
      <c r="C240" t="s">
        <v>459</v>
      </c>
      <c r="D240" t="s">
        <v>466</v>
      </c>
      <c r="F240">
        <v>2.6</v>
      </c>
      <c r="G240">
        <v>200</v>
      </c>
      <c r="H240">
        <v>32.1</v>
      </c>
      <c r="I240">
        <v>50</v>
      </c>
    </row>
    <row r="241" spans="1:9">
      <c r="A241" s="6">
        <v>44842</v>
      </c>
      <c r="B241" t="s">
        <v>458</v>
      </c>
      <c r="C241" t="s">
        <v>459</v>
      </c>
      <c r="D241" t="s">
        <v>467</v>
      </c>
      <c r="F241">
        <v>0</v>
      </c>
      <c r="G241">
        <v>0</v>
      </c>
      <c r="H241">
        <v>65.2</v>
      </c>
      <c r="I241">
        <v>30</v>
      </c>
    </row>
    <row r="242" spans="1:9">
      <c r="A242" s="6">
        <v>44844</v>
      </c>
      <c r="B242" t="s">
        <v>458</v>
      </c>
      <c r="C242" t="s">
        <v>459</v>
      </c>
      <c r="D242" t="s">
        <v>468</v>
      </c>
      <c r="F242">
        <v>0</v>
      </c>
      <c r="G242">
        <v>0</v>
      </c>
      <c r="H242">
        <v>19.2</v>
      </c>
      <c r="I242">
        <v>28</v>
      </c>
    </row>
    <row r="243" spans="1:9">
      <c r="A243" s="6">
        <v>44845</v>
      </c>
      <c r="B243" t="s">
        <v>458</v>
      </c>
      <c r="C243" t="s">
        <v>459</v>
      </c>
      <c r="D243" t="s">
        <v>469</v>
      </c>
      <c r="F243">
        <v>4.24</v>
      </c>
      <c r="G243">
        <v>410</v>
      </c>
      <c r="H243">
        <v>60.4</v>
      </c>
      <c r="I243">
        <v>52</v>
      </c>
    </row>
    <row r="244" spans="1:9">
      <c r="A244" s="6">
        <v>44846</v>
      </c>
      <c r="B244" t="s">
        <v>458</v>
      </c>
      <c r="C244" t="s">
        <v>459</v>
      </c>
      <c r="D244" t="s">
        <v>470</v>
      </c>
      <c r="F244">
        <v>0</v>
      </c>
      <c r="G244">
        <v>0</v>
      </c>
      <c r="H244">
        <v>26.8</v>
      </c>
      <c r="I244">
        <v>46</v>
      </c>
    </row>
    <row r="245" spans="1:9">
      <c r="A245" s="6">
        <v>44847</v>
      </c>
      <c r="B245" t="s">
        <v>458</v>
      </c>
      <c r="C245" t="s">
        <v>459</v>
      </c>
      <c r="D245" t="s">
        <v>471</v>
      </c>
      <c r="F245">
        <v>0</v>
      </c>
      <c r="G245">
        <v>0</v>
      </c>
      <c r="H245">
        <v>52.7</v>
      </c>
      <c r="I245">
        <v>62</v>
      </c>
    </row>
    <row r="246" spans="1:9">
      <c r="A246" s="6">
        <v>44848</v>
      </c>
      <c r="B246" t="s">
        <v>458</v>
      </c>
      <c r="C246" t="s">
        <v>459</v>
      </c>
      <c r="D246" t="s">
        <v>472</v>
      </c>
      <c r="F246">
        <v>0</v>
      </c>
      <c r="G246">
        <v>0</v>
      </c>
      <c r="H246">
        <v>33.299999999999997</v>
      </c>
      <c r="I246">
        <v>38</v>
      </c>
    </row>
    <row r="247" spans="1:9">
      <c r="A247" s="6">
        <v>44849</v>
      </c>
      <c r="B247" t="s">
        <v>458</v>
      </c>
      <c r="C247" t="s">
        <v>459</v>
      </c>
      <c r="D247" t="s">
        <v>473</v>
      </c>
      <c r="F247">
        <v>0</v>
      </c>
      <c r="G247">
        <v>0</v>
      </c>
      <c r="H247">
        <v>48.6</v>
      </c>
      <c r="I247">
        <v>66</v>
      </c>
    </row>
    <row r="248" spans="1:9">
      <c r="A248" s="6">
        <v>44835</v>
      </c>
      <c r="B248" t="s">
        <v>474</v>
      </c>
      <c r="C248" t="s">
        <v>475</v>
      </c>
      <c r="E248" t="s">
        <v>476</v>
      </c>
      <c r="F248">
        <v>0</v>
      </c>
      <c r="G248">
        <v>0</v>
      </c>
      <c r="H248">
        <v>25.5</v>
      </c>
      <c r="I248">
        <v>65</v>
      </c>
    </row>
    <row r="249" spans="1:9">
      <c r="A249" s="6">
        <v>44836</v>
      </c>
      <c r="B249" t="s">
        <v>474</v>
      </c>
      <c r="C249" t="s">
        <v>475</v>
      </c>
      <c r="E249" t="s">
        <v>477</v>
      </c>
      <c r="F249">
        <v>2.5</v>
      </c>
      <c r="G249">
        <v>200</v>
      </c>
      <c r="H249">
        <v>1.9</v>
      </c>
      <c r="I249">
        <v>72</v>
      </c>
    </row>
    <row r="250" spans="1:9">
      <c r="A250" s="6">
        <v>44838</v>
      </c>
      <c r="B250" t="s">
        <v>474</v>
      </c>
      <c r="C250" t="s">
        <v>475</v>
      </c>
      <c r="E250" t="s">
        <v>478</v>
      </c>
      <c r="F250">
        <v>5.13</v>
      </c>
      <c r="G250">
        <v>500</v>
      </c>
      <c r="H250">
        <v>1</v>
      </c>
      <c r="I250">
        <v>202</v>
      </c>
    </row>
    <row r="251" spans="1:9">
      <c r="A251" s="6">
        <v>44839</v>
      </c>
      <c r="B251" t="s">
        <v>474</v>
      </c>
      <c r="C251" t="s">
        <v>475</v>
      </c>
      <c r="E251" t="s">
        <v>479</v>
      </c>
      <c r="F251">
        <v>2.74</v>
      </c>
      <c r="G251">
        <v>250</v>
      </c>
      <c r="H251">
        <v>10.5</v>
      </c>
      <c r="I251">
        <v>137</v>
      </c>
    </row>
    <row r="252" spans="1:9">
      <c r="A252" s="6">
        <v>44841</v>
      </c>
      <c r="B252" t="s">
        <v>474</v>
      </c>
      <c r="C252" t="s">
        <v>475</v>
      </c>
      <c r="E252" t="s">
        <v>480</v>
      </c>
      <c r="F252">
        <v>2.5</v>
      </c>
      <c r="G252">
        <v>200</v>
      </c>
      <c r="H252">
        <v>0.9</v>
      </c>
      <c r="I252">
        <v>122</v>
      </c>
    </row>
    <row r="253" spans="1:9">
      <c r="A253" s="6">
        <v>44842</v>
      </c>
      <c r="B253" t="s">
        <v>474</v>
      </c>
      <c r="C253" t="s">
        <v>475</v>
      </c>
      <c r="E253" t="s">
        <v>481</v>
      </c>
      <c r="F253">
        <v>0</v>
      </c>
      <c r="G253">
        <v>0</v>
      </c>
      <c r="H253">
        <v>0</v>
      </c>
      <c r="I253">
        <v>73</v>
      </c>
    </row>
    <row r="254" spans="1:9">
      <c r="A254" s="6">
        <v>44844</v>
      </c>
      <c r="B254" t="s">
        <v>474</v>
      </c>
      <c r="C254" t="s">
        <v>475</v>
      </c>
      <c r="E254" t="s">
        <v>482</v>
      </c>
      <c r="F254">
        <v>2.5</v>
      </c>
      <c r="G254">
        <v>200</v>
      </c>
      <c r="H254">
        <v>0</v>
      </c>
      <c r="I254">
        <v>159</v>
      </c>
    </row>
    <row r="255" spans="1:9">
      <c r="A255" s="6">
        <v>44846</v>
      </c>
      <c r="B255" t="s">
        <v>474</v>
      </c>
      <c r="C255" t="s">
        <v>475</v>
      </c>
      <c r="F255">
        <v>0</v>
      </c>
      <c r="G255">
        <v>0</v>
      </c>
      <c r="H255">
        <v>75.400000000000006</v>
      </c>
      <c r="I255">
        <v>0</v>
      </c>
    </row>
    <row r="256" spans="1:9">
      <c r="A256" s="6">
        <v>44847</v>
      </c>
      <c r="B256" t="s">
        <v>474</v>
      </c>
      <c r="C256" t="s">
        <v>475</v>
      </c>
      <c r="E256" t="s">
        <v>483</v>
      </c>
      <c r="F256">
        <v>0</v>
      </c>
      <c r="G256">
        <v>0</v>
      </c>
      <c r="H256">
        <v>0.4</v>
      </c>
      <c r="I256">
        <v>43</v>
      </c>
    </row>
    <row r="257" spans="1:9">
      <c r="A257" s="6">
        <v>44848</v>
      </c>
      <c r="B257" t="s">
        <v>474</v>
      </c>
      <c r="C257" t="s">
        <v>475</v>
      </c>
      <c r="E257" t="s">
        <v>484</v>
      </c>
      <c r="F257">
        <v>2.5</v>
      </c>
      <c r="G257">
        <v>200</v>
      </c>
      <c r="H257">
        <v>0.1</v>
      </c>
      <c r="I257">
        <v>67</v>
      </c>
    </row>
    <row r="258" spans="1:9">
      <c r="A258" s="6">
        <v>44849</v>
      </c>
      <c r="B258" t="s">
        <v>474</v>
      </c>
      <c r="C258" t="s">
        <v>475</v>
      </c>
      <c r="E258" t="s">
        <v>485</v>
      </c>
      <c r="F258">
        <v>4.91</v>
      </c>
      <c r="G258">
        <v>510</v>
      </c>
      <c r="H258">
        <v>0.3</v>
      </c>
      <c r="I258">
        <v>95</v>
      </c>
    </row>
    <row r="259" spans="1:9">
      <c r="A259" s="6">
        <v>44841</v>
      </c>
      <c r="B259" t="s">
        <v>47</v>
      </c>
      <c r="C259" t="s">
        <v>48</v>
      </c>
      <c r="F259">
        <v>0</v>
      </c>
      <c r="G259">
        <v>0</v>
      </c>
      <c r="H259">
        <v>0</v>
      </c>
      <c r="I259">
        <v>0</v>
      </c>
    </row>
    <row r="260" spans="1:9">
      <c r="A260" s="6">
        <v>44842</v>
      </c>
      <c r="B260" t="s">
        <v>47</v>
      </c>
      <c r="C260" t="s">
        <v>48</v>
      </c>
      <c r="F260">
        <v>0</v>
      </c>
      <c r="G260">
        <v>0</v>
      </c>
      <c r="H260">
        <v>6.2</v>
      </c>
      <c r="I260">
        <v>0</v>
      </c>
    </row>
    <row r="261" spans="1:9">
      <c r="A261" s="6">
        <v>44844</v>
      </c>
      <c r="B261" t="s">
        <v>47</v>
      </c>
      <c r="C261" t="s">
        <v>48</v>
      </c>
      <c r="E261" t="s">
        <v>486</v>
      </c>
      <c r="F261">
        <v>15.9</v>
      </c>
      <c r="G261">
        <v>1550</v>
      </c>
      <c r="H261">
        <v>26.6</v>
      </c>
      <c r="I261">
        <v>36</v>
      </c>
    </row>
    <row r="262" spans="1:9">
      <c r="A262" s="6">
        <v>44845</v>
      </c>
      <c r="B262" t="s">
        <v>47</v>
      </c>
      <c r="C262" t="s">
        <v>48</v>
      </c>
      <c r="E262" t="s">
        <v>487</v>
      </c>
      <c r="F262">
        <v>0</v>
      </c>
      <c r="G262">
        <v>0</v>
      </c>
      <c r="H262">
        <v>47.2</v>
      </c>
      <c r="I262">
        <v>52</v>
      </c>
    </row>
    <row r="263" spans="1:9">
      <c r="A263" s="6">
        <v>44847</v>
      </c>
      <c r="B263" t="s">
        <v>47</v>
      </c>
      <c r="C263" t="s">
        <v>48</v>
      </c>
      <c r="E263" t="s">
        <v>488</v>
      </c>
      <c r="F263">
        <v>0</v>
      </c>
      <c r="G263">
        <v>0</v>
      </c>
      <c r="H263">
        <v>49.1</v>
      </c>
      <c r="I263">
        <v>47</v>
      </c>
    </row>
    <row r="264" spans="1:9">
      <c r="A264" s="6">
        <v>44849</v>
      </c>
      <c r="B264" t="s">
        <v>47</v>
      </c>
      <c r="C264" t="s">
        <v>48</v>
      </c>
      <c r="E264" t="s">
        <v>489</v>
      </c>
      <c r="F264">
        <v>10.8</v>
      </c>
      <c r="G264">
        <v>1050</v>
      </c>
      <c r="H264">
        <v>155.4</v>
      </c>
      <c r="I264">
        <v>223</v>
      </c>
    </row>
    <row r="265" spans="1:9">
      <c r="A265" s="6">
        <v>44835</v>
      </c>
      <c r="B265" t="s">
        <v>490</v>
      </c>
      <c r="C265" t="s">
        <v>491</v>
      </c>
      <c r="E265" t="s">
        <v>492</v>
      </c>
      <c r="F265">
        <v>0</v>
      </c>
      <c r="G265">
        <v>0</v>
      </c>
      <c r="H265">
        <v>8.3000000000000007</v>
      </c>
      <c r="I265">
        <v>41</v>
      </c>
    </row>
    <row r="266" spans="1:9">
      <c r="A266" s="6">
        <v>44837</v>
      </c>
      <c r="B266" t="s">
        <v>490</v>
      </c>
      <c r="C266" t="s">
        <v>491</v>
      </c>
      <c r="E266" t="s">
        <v>493</v>
      </c>
      <c r="F266">
        <v>0</v>
      </c>
      <c r="G266">
        <v>0</v>
      </c>
      <c r="H266">
        <v>162.80000000000001</v>
      </c>
      <c r="I266">
        <v>21</v>
      </c>
    </row>
    <row r="267" spans="1:9">
      <c r="A267" s="6">
        <v>44838</v>
      </c>
      <c r="B267" t="s">
        <v>490</v>
      </c>
      <c r="C267" t="s">
        <v>491</v>
      </c>
      <c r="E267" t="s">
        <v>494</v>
      </c>
      <c r="F267">
        <v>4.6500000000000004</v>
      </c>
      <c r="G267">
        <v>500</v>
      </c>
      <c r="H267">
        <v>130.6</v>
      </c>
      <c r="I267">
        <v>6</v>
      </c>
    </row>
    <row r="268" spans="1:9">
      <c r="A268" s="6">
        <v>44840</v>
      </c>
      <c r="B268" t="s">
        <v>490</v>
      </c>
      <c r="C268" t="s">
        <v>491</v>
      </c>
      <c r="E268" t="s">
        <v>495</v>
      </c>
      <c r="F268">
        <v>0</v>
      </c>
      <c r="G268">
        <v>0</v>
      </c>
      <c r="H268">
        <v>8.6999999999999993</v>
      </c>
      <c r="I268">
        <v>46</v>
      </c>
    </row>
    <row r="269" spans="1:9">
      <c r="A269" s="6">
        <v>44842</v>
      </c>
      <c r="B269" t="s">
        <v>490</v>
      </c>
      <c r="C269" t="s">
        <v>491</v>
      </c>
      <c r="F269">
        <v>0</v>
      </c>
      <c r="G269">
        <v>0</v>
      </c>
      <c r="H269">
        <v>354.9</v>
      </c>
      <c r="I269">
        <v>0</v>
      </c>
    </row>
    <row r="270" spans="1:9">
      <c r="A270" s="6">
        <v>44844</v>
      </c>
      <c r="B270" t="s">
        <v>490</v>
      </c>
      <c r="C270" t="s">
        <v>491</v>
      </c>
      <c r="E270" t="s">
        <v>496</v>
      </c>
      <c r="F270">
        <v>4.6399999999999997</v>
      </c>
      <c r="G270">
        <v>500</v>
      </c>
      <c r="H270">
        <v>142.19999999999999</v>
      </c>
      <c r="I270">
        <v>43</v>
      </c>
    </row>
    <row r="271" spans="1:9">
      <c r="A271" s="6">
        <v>44845</v>
      </c>
      <c r="B271" t="s">
        <v>490</v>
      </c>
      <c r="C271" t="s">
        <v>491</v>
      </c>
      <c r="E271" t="s">
        <v>497</v>
      </c>
      <c r="F271">
        <v>0</v>
      </c>
      <c r="G271">
        <v>0</v>
      </c>
      <c r="H271">
        <v>4.8</v>
      </c>
      <c r="I271">
        <v>21</v>
      </c>
    </row>
    <row r="272" spans="1:9">
      <c r="A272" s="6">
        <v>44846</v>
      </c>
      <c r="B272" t="s">
        <v>490</v>
      </c>
      <c r="C272" t="s">
        <v>491</v>
      </c>
      <c r="E272" t="s">
        <v>498</v>
      </c>
      <c r="F272">
        <v>0</v>
      </c>
      <c r="G272">
        <v>0</v>
      </c>
      <c r="H272">
        <v>27.3</v>
      </c>
      <c r="I272">
        <v>57</v>
      </c>
    </row>
    <row r="273" spans="1:9">
      <c r="A273" s="6">
        <v>44847</v>
      </c>
      <c r="B273" t="s">
        <v>490</v>
      </c>
      <c r="C273" t="s">
        <v>491</v>
      </c>
      <c r="E273" t="s">
        <v>499</v>
      </c>
      <c r="F273">
        <v>8.36</v>
      </c>
      <c r="G273">
        <v>900</v>
      </c>
      <c r="H273">
        <v>21.6</v>
      </c>
      <c r="I273">
        <v>47</v>
      </c>
    </row>
    <row r="274" spans="1:9">
      <c r="A274" s="6">
        <v>44848</v>
      </c>
      <c r="B274" t="s">
        <v>490</v>
      </c>
      <c r="C274" t="s">
        <v>491</v>
      </c>
      <c r="E274" t="s">
        <v>500</v>
      </c>
      <c r="F274">
        <v>0</v>
      </c>
      <c r="G274">
        <v>0</v>
      </c>
      <c r="H274">
        <v>25.5</v>
      </c>
      <c r="I274">
        <v>59</v>
      </c>
    </row>
    <row r="275" spans="1:9">
      <c r="A275" s="6">
        <v>44849</v>
      </c>
      <c r="B275" t="s">
        <v>490</v>
      </c>
      <c r="C275" t="s">
        <v>491</v>
      </c>
      <c r="E275" t="s">
        <v>501</v>
      </c>
      <c r="F275">
        <v>0</v>
      </c>
      <c r="G275">
        <v>0</v>
      </c>
      <c r="H275">
        <v>8.8000000000000007</v>
      </c>
      <c r="I275">
        <v>13</v>
      </c>
    </row>
    <row r="276" spans="1:9">
      <c r="A276" s="6">
        <v>44835</v>
      </c>
      <c r="B276" t="s">
        <v>502</v>
      </c>
      <c r="C276" t="s">
        <v>503</v>
      </c>
      <c r="D276" t="s">
        <v>504</v>
      </c>
      <c r="F276">
        <v>33.340000000000003</v>
      </c>
      <c r="G276">
        <v>3000</v>
      </c>
      <c r="H276">
        <v>94.6</v>
      </c>
      <c r="I276">
        <v>106</v>
      </c>
    </row>
    <row r="277" spans="1:9">
      <c r="A277" s="6">
        <v>44836</v>
      </c>
      <c r="B277" t="s">
        <v>502</v>
      </c>
      <c r="C277" t="s">
        <v>503</v>
      </c>
      <c r="D277" t="s">
        <v>505</v>
      </c>
      <c r="F277">
        <v>0</v>
      </c>
      <c r="G277">
        <v>0</v>
      </c>
      <c r="H277">
        <v>67.5</v>
      </c>
      <c r="I277">
        <v>33</v>
      </c>
    </row>
    <row r="278" spans="1:9">
      <c r="A278" s="6">
        <v>44837</v>
      </c>
      <c r="B278" t="s">
        <v>502</v>
      </c>
      <c r="C278" t="s">
        <v>503</v>
      </c>
      <c r="D278" t="s">
        <v>506</v>
      </c>
      <c r="F278">
        <v>0</v>
      </c>
      <c r="G278">
        <v>0</v>
      </c>
      <c r="H278">
        <v>61.6</v>
      </c>
      <c r="I278">
        <v>45</v>
      </c>
    </row>
    <row r="279" spans="1:9">
      <c r="A279" s="6">
        <v>44838</v>
      </c>
      <c r="B279" t="s">
        <v>502</v>
      </c>
      <c r="C279" t="s">
        <v>503</v>
      </c>
      <c r="D279" t="s">
        <v>507</v>
      </c>
      <c r="F279">
        <v>0</v>
      </c>
      <c r="G279">
        <v>0</v>
      </c>
      <c r="H279">
        <v>175.7</v>
      </c>
      <c r="I279">
        <v>208</v>
      </c>
    </row>
    <row r="280" spans="1:9">
      <c r="A280" s="6">
        <v>44839</v>
      </c>
      <c r="B280" t="s">
        <v>502</v>
      </c>
      <c r="C280" t="s">
        <v>503</v>
      </c>
      <c r="D280" t="s">
        <v>508</v>
      </c>
      <c r="F280">
        <v>22.26</v>
      </c>
      <c r="G280">
        <v>2000</v>
      </c>
      <c r="H280">
        <v>101.4</v>
      </c>
      <c r="I280">
        <v>105</v>
      </c>
    </row>
    <row r="281" spans="1:9">
      <c r="A281" s="6">
        <v>44840</v>
      </c>
      <c r="B281" t="s">
        <v>502</v>
      </c>
      <c r="C281" t="s">
        <v>503</v>
      </c>
      <c r="D281" t="s">
        <v>509</v>
      </c>
      <c r="F281">
        <v>0</v>
      </c>
      <c r="G281">
        <v>0</v>
      </c>
      <c r="H281">
        <v>60.3</v>
      </c>
      <c r="I281">
        <v>101</v>
      </c>
    </row>
    <row r="282" spans="1:9">
      <c r="A282" s="6">
        <v>44841</v>
      </c>
      <c r="B282" t="s">
        <v>502</v>
      </c>
      <c r="C282" t="s">
        <v>503</v>
      </c>
      <c r="D282" t="s">
        <v>510</v>
      </c>
      <c r="F282">
        <v>0</v>
      </c>
      <c r="G282">
        <v>0</v>
      </c>
      <c r="H282">
        <v>60.2</v>
      </c>
      <c r="I282">
        <v>60</v>
      </c>
    </row>
    <row r="283" spans="1:9">
      <c r="A283" s="6">
        <v>44842</v>
      </c>
      <c r="B283" t="s">
        <v>502</v>
      </c>
      <c r="C283" t="s">
        <v>503</v>
      </c>
      <c r="D283" t="s">
        <v>511</v>
      </c>
      <c r="F283">
        <v>27.83</v>
      </c>
      <c r="G283">
        <v>2500</v>
      </c>
      <c r="H283">
        <v>60.9</v>
      </c>
      <c r="I283">
        <v>122</v>
      </c>
    </row>
    <row r="284" spans="1:9">
      <c r="A284" s="6">
        <v>44843</v>
      </c>
      <c r="B284" t="s">
        <v>502</v>
      </c>
      <c r="C284" t="s">
        <v>503</v>
      </c>
      <c r="D284" t="s">
        <v>512</v>
      </c>
      <c r="F284">
        <v>0</v>
      </c>
      <c r="G284">
        <v>0</v>
      </c>
      <c r="H284">
        <v>18.7</v>
      </c>
      <c r="I284">
        <v>18</v>
      </c>
    </row>
    <row r="285" spans="1:9">
      <c r="A285" s="6">
        <v>44844</v>
      </c>
      <c r="B285" t="s">
        <v>502</v>
      </c>
      <c r="C285" t="s">
        <v>503</v>
      </c>
      <c r="D285" t="s">
        <v>513</v>
      </c>
      <c r="F285">
        <v>0</v>
      </c>
      <c r="G285">
        <v>0</v>
      </c>
      <c r="H285">
        <v>34.1</v>
      </c>
      <c r="I285">
        <v>14</v>
      </c>
    </row>
    <row r="286" spans="1:9">
      <c r="A286" s="6">
        <v>44845</v>
      </c>
      <c r="B286" t="s">
        <v>502</v>
      </c>
      <c r="C286" t="s">
        <v>503</v>
      </c>
      <c r="D286" t="s">
        <v>514</v>
      </c>
      <c r="F286">
        <v>0</v>
      </c>
      <c r="G286">
        <v>0</v>
      </c>
      <c r="H286">
        <v>138.80000000000001</v>
      </c>
      <c r="I286">
        <v>152</v>
      </c>
    </row>
    <row r="287" spans="1:9">
      <c r="A287" s="6">
        <v>44846</v>
      </c>
      <c r="B287" t="s">
        <v>502</v>
      </c>
      <c r="C287" t="s">
        <v>503</v>
      </c>
      <c r="D287" t="s">
        <v>515</v>
      </c>
      <c r="F287">
        <v>0</v>
      </c>
      <c r="G287">
        <v>0</v>
      </c>
      <c r="H287">
        <v>146.69999999999999</v>
      </c>
      <c r="I287">
        <v>154</v>
      </c>
    </row>
    <row r="288" spans="1:9">
      <c r="A288" s="6">
        <v>44847</v>
      </c>
      <c r="B288" t="s">
        <v>502</v>
      </c>
      <c r="C288" t="s">
        <v>503</v>
      </c>
      <c r="D288" t="s">
        <v>516</v>
      </c>
      <c r="F288">
        <v>0</v>
      </c>
      <c r="G288">
        <v>0</v>
      </c>
      <c r="H288">
        <v>19</v>
      </c>
      <c r="I288">
        <v>17</v>
      </c>
    </row>
    <row r="289" spans="1:9">
      <c r="A289" s="6">
        <v>44848</v>
      </c>
      <c r="B289" t="s">
        <v>502</v>
      </c>
      <c r="C289" t="s">
        <v>503</v>
      </c>
      <c r="D289" t="s">
        <v>517</v>
      </c>
      <c r="F289">
        <v>0</v>
      </c>
      <c r="G289">
        <v>0</v>
      </c>
      <c r="H289">
        <v>122</v>
      </c>
      <c r="I289">
        <v>125</v>
      </c>
    </row>
    <row r="290" spans="1:9">
      <c r="A290" s="6">
        <v>44849</v>
      </c>
      <c r="B290" t="s">
        <v>502</v>
      </c>
      <c r="C290" t="s">
        <v>503</v>
      </c>
      <c r="D290" t="s">
        <v>518</v>
      </c>
      <c r="F290">
        <v>3.56</v>
      </c>
      <c r="G290">
        <v>320</v>
      </c>
      <c r="H290">
        <v>101.4</v>
      </c>
      <c r="I290">
        <v>100</v>
      </c>
    </row>
    <row r="291" spans="1:9">
      <c r="A291" s="6">
        <v>44835</v>
      </c>
      <c r="B291" t="s">
        <v>88</v>
      </c>
      <c r="C291" t="s">
        <v>89</v>
      </c>
      <c r="E291" t="s">
        <v>519</v>
      </c>
      <c r="F291">
        <v>0</v>
      </c>
      <c r="G291">
        <v>0</v>
      </c>
      <c r="H291">
        <v>54.5</v>
      </c>
      <c r="I291">
        <v>96</v>
      </c>
    </row>
    <row r="292" spans="1:9">
      <c r="A292" s="6">
        <v>44837</v>
      </c>
      <c r="B292" t="s">
        <v>88</v>
      </c>
      <c r="C292" t="s">
        <v>89</v>
      </c>
      <c r="E292" t="s">
        <v>520</v>
      </c>
      <c r="F292">
        <v>0</v>
      </c>
      <c r="G292">
        <v>0</v>
      </c>
      <c r="H292">
        <v>53.9</v>
      </c>
      <c r="I292">
        <v>85</v>
      </c>
    </row>
    <row r="293" spans="1:9">
      <c r="A293" s="6">
        <v>44838</v>
      </c>
      <c r="B293" t="s">
        <v>88</v>
      </c>
      <c r="C293" t="s">
        <v>89</v>
      </c>
      <c r="E293" t="s">
        <v>521</v>
      </c>
      <c r="F293">
        <v>0</v>
      </c>
      <c r="G293">
        <v>0</v>
      </c>
      <c r="H293">
        <v>30.5</v>
      </c>
      <c r="I293">
        <v>54</v>
      </c>
    </row>
    <row r="294" spans="1:9">
      <c r="A294" s="6">
        <v>44840</v>
      </c>
      <c r="B294" t="s">
        <v>88</v>
      </c>
      <c r="C294" t="s">
        <v>89</v>
      </c>
      <c r="E294" t="s">
        <v>522</v>
      </c>
      <c r="F294">
        <v>0</v>
      </c>
      <c r="G294">
        <v>0</v>
      </c>
      <c r="H294">
        <v>27.1</v>
      </c>
      <c r="I294">
        <v>52</v>
      </c>
    </row>
    <row r="295" spans="1:9">
      <c r="A295" s="6">
        <v>44841</v>
      </c>
      <c r="B295" t="s">
        <v>88</v>
      </c>
      <c r="C295" t="s">
        <v>89</v>
      </c>
      <c r="D295" t="s">
        <v>523</v>
      </c>
      <c r="F295">
        <v>4.7</v>
      </c>
      <c r="G295">
        <v>520</v>
      </c>
      <c r="H295">
        <v>57.3</v>
      </c>
      <c r="I295">
        <v>98</v>
      </c>
    </row>
    <row r="296" spans="1:9">
      <c r="A296" s="6">
        <v>44842</v>
      </c>
      <c r="B296" t="s">
        <v>88</v>
      </c>
      <c r="C296" t="s">
        <v>89</v>
      </c>
      <c r="E296" t="s">
        <v>524</v>
      </c>
      <c r="F296">
        <v>0</v>
      </c>
      <c r="G296">
        <v>0</v>
      </c>
      <c r="H296">
        <v>17.7</v>
      </c>
      <c r="I296">
        <v>60</v>
      </c>
    </row>
    <row r="297" spans="1:9">
      <c r="A297" s="6">
        <v>44843</v>
      </c>
      <c r="B297" t="s">
        <v>88</v>
      </c>
      <c r="C297" t="s">
        <v>89</v>
      </c>
      <c r="E297" t="s">
        <v>525</v>
      </c>
      <c r="F297">
        <v>0</v>
      </c>
      <c r="G297">
        <v>0</v>
      </c>
      <c r="H297">
        <v>27</v>
      </c>
      <c r="I297">
        <v>58</v>
      </c>
    </row>
    <row r="298" spans="1:9">
      <c r="A298" s="6">
        <v>44844</v>
      </c>
      <c r="B298" t="s">
        <v>88</v>
      </c>
      <c r="C298" t="s">
        <v>89</v>
      </c>
      <c r="E298" t="s">
        <v>526</v>
      </c>
      <c r="F298">
        <v>0</v>
      </c>
      <c r="G298">
        <v>0</v>
      </c>
      <c r="H298">
        <v>2.9</v>
      </c>
      <c r="I298">
        <v>88</v>
      </c>
    </row>
    <row r="299" spans="1:9">
      <c r="A299" s="6">
        <v>44845</v>
      </c>
      <c r="B299" t="s">
        <v>88</v>
      </c>
      <c r="C299" t="s">
        <v>89</v>
      </c>
      <c r="E299" t="s">
        <v>527</v>
      </c>
      <c r="F299">
        <v>0</v>
      </c>
      <c r="G299">
        <v>0</v>
      </c>
      <c r="H299">
        <v>48.3</v>
      </c>
      <c r="I299">
        <v>115</v>
      </c>
    </row>
    <row r="300" spans="1:9">
      <c r="A300" s="6">
        <v>44846</v>
      </c>
      <c r="B300" t="s">
        <v>88</v>
      </c>
      <c r="C300" t="s">
        <v>89</v>
      </c>
      <c r="E300" t="s">
        <v>528</v>
      </c>
      <c r="F300">
        <v>0</v>
      </c>
      <c r="G300">
        <v>0</v>
      </c>
      <c r="H300">
        <v>11.6</v>
      </c>
      <c r="I300">
        <v>111</v>
      </c>
    </row>
    <row r="301" spans="1:9">
      <c r="A301" s="6">
        <v>44847</v>
      </c>
      <c r="B301" t="s">
        <v>88</v>
      </c>
      <c r="C301" t="s">
        <v>89</v>
      </c>
      <c r="E301" t="s">
        <v>529</v>
      </c>
      <c r="F301">
        <v>6</v>
      </c>
      <c r="G301">
        <v>760</v>
      </c>
      <c r="H301">
        <v>2.6</v>
      </c>
      <c r="I301">
        <v>93</v>
      </c>
    </row>
    <row r="302" spans="1:9">
      <c r="A302" s="6">
        <v>44848</v>
      </c>
      <c r="B302" t="s">
        <v>88</v>
      </c>
      <c r="C302" t="s">
        <v>89</v>
      </c>
      <c r="E302" t="s">
        <v>530</v>
      </c>
      <c r="F302">
        <v>0</v>
      </c>
      <c r="G302">
        <v>0</v>
      </c>
      <c r="H302">
        <v>24.2</v>
      </c>
      <c r="I302">
        <v>136</v>
      </c>
    </row>
    <row r="303" spans="1:9">
      <c r="A303" s="6">
        <v>44849</v>
      </c>
      <c r="B303" t="s">
        <v>88</v>
      </c>
      <c r="C303" t="s">
        <v>89</v>
      </c>
      <c r="E303" t="s">
        <v>531</v>
      </c>
      <c r="F303">
        <v>0</v>
      </c>
      <c r="G303">
        <v>0</v>
      </c>
      <c r="H303">
        <v>30.5</v>
      </c>
      <c r="I303">
        <v>58</v>
      </c>
    </row>
    <row r="304" spans="1:9">
      <c r="A304" s="6">
        <v>44835</v>
      </c>
      <c r="B304" t="s">
        <v>61</v>
      </c>
      <c r="C304" t="s">
        <v>62</v>
      </c>
      <c r="E304" t="s">
        <v>532</v>
      </c>
      <c r="F304">
        <v>2.04</v>
      </c>
      <c r="G304">
        <v>200</v>
      </c>
      <c r="H304">
        <v>22.4</v>
      </c>
      <c r="I304">
        <v>29</v>
      </c>
    </row>
    <row r="305" spans="1:9">
      <c r="A305" s="6">
        <v>44837</v>
      </c>
      <c r="B305" t="s">
        <v>61</v>
      </c>
      <c r="C305" t="s">
        <v>62</v>
      </c>
      <c r="E305" t="s">
        <v>533</v>
      </c>
      <c r="F305">
        <v>0</v>
      </c>
      <c r="G305">
        <v>0</v>
      </c>
      <c r="H305">
        <v>24.5</v>
      </c>
      <c r="I305">
        <v>42</v>
      </c>
    </row>
    <row r="306" spans="1:9">
      <c r="A306" s="6">
        <v>44838</v>
      </c>
      <c r="B306" t="s">
        <v>61</v>
      </c>
      <c r="C306" t="s">
        <v>62</v>
      </c>
      <c r="E306" t="s">
        <v>534</v>
      </c>
      <c r="F306">
        <v>2.0099999999999998</v>
      </c>
      <c r="G306">
        <v>200</v>
      </c>
      <c r="H306">
        <v>62</v>
      </c>
      <c r="I306">
        <v>83</v>
      </c>
    </row>
    <row r="307" spans="1:9">
      <c r="A307" s="6">
        <v>44840</v>
      </c>
      <c r="B307" t="s">
        <v>61</v>
      </c>
      <c r="C307" t="s">
        <v>62</v>
      </c>
      <c r="E307" t="s">
        <v>535</v>
      </c>
      <c r="F307">
        <v>2.6</v>
      </c>
      <c r="G307">
        <v>250</v>
      </c>
      <c r="H307">
        <v>130</v>
      </c>
      <c r="I307">
        <v>140</v>
      </c>
    </row>
    <row r="308" spans="1:9">
      <c r="A308" s="6">
        <v>44841</v>
      </c>
      <c r="B308" t="s">
        <v>61</v>
      </c>
      <c r="C308" t="s">
        <v>62</v>
      </c>
      <c r="E308" t="s">
        <v>536</v>
      </c>
      <c r="F308">
        <v>5.9</v>
      </c>
      <c r="G308">
        <v>500</v>
      </c>
      <c r="H308">
        <v>158.30000000000001</v>
      </c>
      <c r="I308">
        <v>163</v>
      </c>
    </row>
    <row r="309" spans="1:9">
      <c r="A309" s="6">
        <v>44842</v>
      </c>
      <c r="B309" t="s">
        <v>61</v>
      </c>
      <c r="C309" t="s">
        <v>62</v>
      </c>
      <c r="E309" t="s">
        <v>537</v>
      </c>
      <c r="F309">
        <v>2</v>
      </c>
      <c r="G309">
        <v>200</v>
      </c>
      <c r="H309">
        <v>158.4</v>
      </c>
      <c r="I309">
        <v>166</v>
      </c>
    </row>
    <row r="310" spans="1:9">
      <c r="A310" s="6">
        <v>44844</v>
      </c>
      <c r="B310" t="s">
        <v>61</v>
      </c>
      <c r="C310" t="s">
        <v>62</v>
      </c>
      <c r="F310">
        <v>0</v>
      </c>
      <c r="G310">
        <v>0</v>
      </c>
      <c r="H310">
        <v>183</v>
      </c>
      <c r="I310">
        <v>0</v>
      </c>
    </row>
    <row r="311" spans="1:9">
      <c r="A311" s="6">
        <v>44845</v>
      </c>
      <c r="B311" t="s">
        <v>61</v>
      </c>
      <c r="C311" t="s">
        <v>62</v>
      </c>
      <c r="E311" t="s">
        <v>538</v>
      </c>
      <c r="F311">
        <v>0</v>
      </c>
      <c r="G311">
        <v>0</v>
      </c>
      <c r="H311">
        <v>24.8</v>
      </c>
      <c r="I311">
        <v>71</v>
      </c>
    </row>
    <row r="312" spans="1:9">
      <c r="A312" s="6">
        <v>44846</v>
      </c>
      <c r="B312" t="s">
        <v>61</v>
      </c>
      <c r="C312" t="s">
        <v>62</v>
      </c>
      <c r="E312" t="s">
        <v>539</v>
      </c>
      <c r="F312">
        <v>3.12</v>
      </c>
      <c r="G312">
        <v>300</v>
      </c>
      <c r="H312">
        <v>51.2</v>
      </c>
      <c r="I312">
        <v>123</v>
      </c>
    </row>
    <row r="313" spans="1:9">
      <c r="A313" s="6">
        <v>44847</v>
      </c>
      <c r="B313" t="s">
        <v>61</v>
      </c>
      <c r="C313" t="s">
        <v>62</v>
      </c>
      <c r="F313">
        <v>0</v>
      </c>
      <c r="G313">
        <v>0</v>
      </c>
      <c r="H313">
        <v>164.7</v>
      </c>
      <c r="I313">
        <v>0</v>
      </c>
    </row>
    <row r="314" spans="1:9">
      <c r="A314" s="6">
        <v>44848</v>
      </c>
      <c r="B314" t="s">
        <v>61</v>
      </c>
      <c r="C314" t="s">
        <v>62</v>
      </c>
      <c r="E314" t="s">
        <v>540</v>
      </c>
      <c r="F314">
        <v>0</v>
      </c>
      <c r="G314">
        <v>0</v>
      </c>
      <c r="H314">
        <v>77.099999999999994</v>
      </c>
      <c r="I314">
        <v>30</v>
      </c>
    </row>
    <row r="315" spans="1:9">
      <c r="A315" s="6">
        <v>44849</v>
      </c>
      <c r="B315" t="s">
        <v>61</v>
      </c>
      <c r="C315" t="s">
        <v>62</v>
      </c>
      <c r="F315">
        <v>0</v>
      </c>
      <c r="G315">
        <v>0</v>
      </c>
      <c r="H315">
        <v>181.4</v>
      </c>
      <c r="I315">
        <v>0</v>
      </c>
    </row>
    <row r="316" spans="1:9">
      <c r="A316" s="6">
        <v>44835</v>
      </c>
      <c r="B316" t="s">
        <v>541</v>
      </c>
      <c r="C316" t="s">
        <v>542</v>
      </c>
      <c r="F316">
        <v>0</v>
      </c>
      <c r="G316">
        <v>0</v>
      </c>
      <c r="H316">
        <v>13.7</v>
      </c>
      <c r="I316">
        <v>0</v>
      </c>
    </row>
    <row r="317" spans="1:9">
      <c r="A317" s="6">
        <v>44837</v>
      </c>
      <c r="B317" t="s">
        <v>541</v>
      </c>
      <c r="C317" t="s">
        <v>542</v>
      </c>
      <c r="F317">
        <v>0</v>
      </c>
      <c r="G317">
        <v>0</v>
      </c>
      <c r="H317">
        <v>161.4</v>
      </c>
      <c r="I317">
        <v>0</v>
      </c>
    </row>
    <row r="318" spans="1:9">
      <c r="A318" s="6">
        <v>44838</v>
      </c>
      <c r="B318" t="s">
        <v>541</v>
      </c>
      <c r="C318" t="s">
        <v>542</v>
      </c>
      <c r="F318">
        <v>0</v>
      </c>
      <c r="G318">
        <v>0</v>
      </c>
      <c r="H318">
        <v>7.8</v>
      </c>
      <c r="I318">
        <v>0</v>
      </c>
    </row>
    <row r="319" spans="1:9">
      <c r="A319" s="6">
        <v>44840</v>
      </c>
      <c r="B319" t="s">
        <v>541</v>
      </c>
      <c r="C319" t="s">
        <v>542</v>
      </c>
      <c r="E319" t="s">
        <v>543</v>
      </c>
      <c r="F319">
        <v>0</v>
      </c>
      <c r="G319">
        <v>0</v>
      </c>
      <c r="H319">
        <v>35.4</v>
      </c>
      <c r="I319">
        <v>0</v>
      </c>
    </row>
    <row r="320" spans="1:9">
      <c r="A320" s="6">
        <v>44841</v>
      </c>
      <c r="B320" t="s">
        <v>541</v>
      </c>
      <c r="C320" t="s">
        <v>542</v>
      </c>
      <c r="F320">
        <v>0</v>
      </c>
      <c r="G320">
        <v>0</v>
      </c>
      <c r="H320">
        <v>7.9</v>
      </c>
      <c r="I320">
        <v>0</v>
      </c>
    </row>
    <row r="321" spans="1:9">
      <c r="A321" s="6">
        <v>44842</v>
      </c>
      <c r="B321" t="s">
        <v>541</v>
      </c>
      <c r="C321" t="s">
        <v>542</v>
      </c>
      <c r="F321">
        <v>0</v>
      </c>
      <c r="G321">
        <v>0</v>
      </c>
      <c r="H321">
        <v>22.3</v>
      </c>
      <c r="I321">
        <v>0</v>
      </c>
    </row>
    <row r="322" spans="1:9">
      <c r="A322" s="6">
        <v>44847</v>
      </c>
      <c r="B322" t="s">
        <v>541</v>
      </c>
      <c r="C322" t="s">
        <v>542</v>
      </c>
      <c r="F322">
        <v>0</v>
      </c>
      <c r="G322">
        <v>0</v>
      </c>
      <c r="H322">
        <v>11.6</v>
      </c>
      <c r="I322">
        <v>0</v>
      </c>
    </row>
    <row r="323" spans="1:9">
      <c r="A323" s="6">
        <v>44848</v>
      </c>
      <c r="B323" t="s">
        <v>541</v>
      </c>
      <c r="C323" t="s">
        <v>542</v>
      </c>
      <c r="E323" t="s">
        <v>544</v>
      </c>
      <c r="F323">
        <v>12</v>
      </c>
      <c r="G323">
        <v>1000</v>
      </c>
      <c r="H323">
        <v>107.6</v>
      </c>
      <c r="I323">
        <v>101</v>
      </c>
    </row>
    <row r="324" spans="1:9">
      <c r="A324" s="6">
        <v>44849</v>
      </c>
      <c r="B324" t="s">
        <v>541</v>
      </c>
      <c r="C324" t="s">
        <v>542</v>
      </c>
      <c r="E324" t="s">
        <v>545</v>
      </c>
      <c r="F324">
        <v>0</v>
      </c>
      <c r="G324">
        <v>0</v>
      </c>
      <c r="H324">
        <v>29.4</v>
      </c>
      <c r="I324">
        <v>25</v>
      </c>
    </row>
    <row r="325" spans="1:9">
      <c r="A325" s="6">
        <v>44835</v>
      </c>
      <c r="B325" t="s">
        <v>546</v>
      </c>
      <c r="C325" t="s">
        <v>547</v>
      </c>
      <c r="E325" t="s">
        <v>548</v>
      </c>
      <c r="F325">
        <v>0</v>
      </c>
      <c r="G325">
        <v>0</v>
      </c>
      <c r="H325">
        <v>0.2</v>
      </c>
      <c r="I325">
        <v>87</v>
      </c>
    </row>
    <row r="326" spans="1:9">
      <c r="A326" s="6">
        <v>44837</v>
      </c>
      <c r="B326" t="s">
        <v>546</v>
      </c>
      <c r="C326" t="s">
        <v>547</v>
      </c>
      <c r="E326" t="s">
        <v>549</v>
      </c>
      <c r="F326">
        <v>4.6900000000000004</v>
      </c>
      <c r="G326">
        <v>500</v>
      </c>
      <c r="H326">
        <v>0.1</v>
      </c>
      <c r="I326">
        <v>91</v>
      </c>
    </row>
    <row r="327" spans="1:9">
      <c r="A327" s="6">
        <v>44838</v>
      </c>
      <c r="B327" t="s">
        <v>546</v>
      </c>
      <c r="C327" t="s">
        <v>547</v>
      </c>
      <c r="E327" t="s">
        <v>550</v>
      </c>
      <c r="F327">
        <v>0</v>
      </c>
      <c r="G327">
        <v>0</v>
      </c>
      <c r="H327">
        <v>0</v>
      </c>
      <c r="I327">
        <v>49</v>
      </c>
    </row>
    <row r="328" spans="1:9">
      <c r="A328" s="6">
        <v>44839</v>
      </c>
      <c r="B328" t="s">
        <v>546</v>
      </c>
      <c r="C328" t="s">
        <v>547</v>
      </c>
      <c r="E328" t="s">
        <v>551</v>
      </c>
      <c r="F328">
        <v>0</v>
      </c>
      <c r="G328">
        <v>0</v>
      </c>
      <c r="H328">
        <v>0.2</v>
      </c>
      <c r="I328">
        <v>0</v>
      </c>
    </row>
    <row r="329" spans="1:9">
      <c r="A329" s="6">
        <v>44840</v>
      </c>
      <c r="B329" t="s">
        <v>546</v>
      </c>
      <c r="C329" t="s">
        <v>547</v>
      </c>
      <c r="E329" t="s">
        <v>552</v>
      </c>
      <c r="F329">
        <v>4.41</v>
      </c>
      <c r="G329">
        <v>500</v>
      </c>
      <c r="H329">
        <v>0.2</v>
      </c>
      <c r="I329">
        <v>92</v>
      </c>
    </row>
    <row r="330" spans="1:9">
      <c r="A330" s="6">
        <v>44841</v>
      </c>
      <c r="B330" t="s">
        <v>546</v>
      </c>
      <c r="C330" t="s">
        <v>547</v>
      </c>
      <c r="E330" t="s">
        <v>553</v>
      </c>
      <c r="F330">
        <v>0</v>
      </c>
      <c r="G330">
        <v>0</v>
      </c>
      <c r="H330">
        <v>0.2</v>
      </c>
      <c r="I330">
        <v>17</v>
      </c>
    </row>
    <row r="331" spans="1:9">
      <c r="A331" s="6">
        <v>44842</v>
      </c>
      <c r="B331" t="s">
        <v>546</v>
      </c>
      <c r="C331" t="s">
        <v>547</v>
      </c>
      <c r="E331" t="s">
        <v>554</v>
      </c>
      <c r="F331">
        <v>0</v>
      </c>
      <c r="G331">
        <v>0</v>
      </c>
      <c r="H331">
        <v>0.2</v>
      </c>
      <c r="I331">
        <v>105</v>
      </c>
    </row>
    <row r="332" spans="1:9">
      <c r="A332" s="6">
        <v>44844</v>
      </c>
      <c r="B332" t="s">
        <v>546</v>
      </c>
      <c r="C332" t="s">
        <v>547</v>
      </c>
      <c r="E332" t="s">
        <v>555</v>
      </c>
      <c r="F332">
        <v>0</v>
      </c>
      <c r="G332">
        <v>0</v>
      </c>
      <c r="H332">
        <v>0</v>
      </c>
      <c r="I332">
        <v>38</v>
      </c>
    </row>
    <row r="333" spans="1:9">
      <c r="A333" s="6">
        <v>44845</v>
      </c>
      <c r="B333" t="s">
        <v>546</v>
      </c>
      <c r="C333" t="s">
        <v>547</v>
      </c>
      <c r="E333" t="s">
        <v>556</v>
      </c>
      <c r="F333">
        <v>5.28</v>
      </c>
      <c r="G333">
        <v>600</v>
      </c>
      <c r="H333">
        <v>0.2</v>
      </c>
      <c r="I333">
        <v>54</v>
      </c>
    </row>
    <row r="334" spans="1:9">
      <c r="A334" s="6">
        <v>44846</v>
      </c>
      <c r="B334" t="s">
        <v>546</v>
      </c>
      <c r="C334" t="s">
        <v>547</v>
      </c>
      <c r="E334" t="s">
        <v>557</v>
      </c>
      <c r="F334">
        <v>0</v>
      </c>
      <c r="G334">
        <v>0</v>
      </c>
      <c r="H334">
        <v>0.2</v>
      </c>
      <c r="I334">
        <v>14</v>
      </c>
    </row>
    <row r="335" spans="1:9">
      <c r="A335" s="6">
        <v>44847</v>
      </c>
      <c r="B335" t="s">
        <v>546</v>
      </c>
      <c r="C335" t="s">
        <v>547</v>
      </c>
      <c r="E335" t="s">
        <v>558</v>
      </c>
      <c r="F335">
        <v>0</v>
      </c>
      <c r="G335">
        <v>0</v>
      </c>
      <c r="H335">
        <v>0.2</v>
      </c>
      <c r="I335">
        <v>69</v>
      </c>
    </row>
    <row r="336" spans="1:9">
      <c r="A336" s="6">
        <v>44848</v>
      </c>
      <c r="B336" t="s">
        <v>546</v>
      </c>
      <c r="C336" t="s">
        <v>547</v>
      </c>
      <c r="E336" t="s">
        <v>559</v>
      </c>
      <c r="F336">
        <v>0</v>
      </c>
      <c r="G336">
        <v>0</v>
      </c>
      <c r="H336">
        <v>0.2</v>
      </c>
      <c r="I336">
        <v>52</v>
      </c>
    </row>
    <row r="337" spans="1:9">
      <c r="A337" s="6">
        <v>44849</v>
      </c>
      <c r="B337" t="s">
        <v>546</v>
      </c>
      <c r="C337" t="s">
        <v>547</v>
      </c>
      <c r="E337" t="s">
        <v>560</v>
      </c>
      <c r="F337">
        <v>0.94</v>
      </c>
      <c r="G337">
        <v>100</v>
      </c>
      <c r="H337">
        <v>0.1</v>
      </c>
      <c r="I337">
        <v>86</v>
      </c>
    </row>
    <row r="338" spans="1:9">
      <c r="A338" s="6">
        <v>44835</v>
      </c>
      <c r="B338" t="s">
        <v>49</v>
      </c>
      <c r="C338" t="s">
        <v>50</v>
      </c>
      <c r="E338" t="s">
        <v>561</v>
      </c>
      <c r="F338">
        <v>4.7</v>
      </c>
      <c r="G338">
        <v>500</v>
      </c>
      <c r="H338">
        <v>54.9</v>
      </c>
      <c r="I338">
        <v>60</v>
      </c>
    </row>
    <row r="339" spans="1:9">
      <c r="A339" s="6">
        <v>44837</v>
      </c>
      <c r="B339" t="s">
        <v>49</v>
      </c>
      <c r="C339" t="s">
        <v>50</v>
      </c>
      <c r="E339" t="s">
        <v>562</v>
      </c>
      <c r="F339">
        <v>0</v>
      </c>
      <c r="G339">
        <v>0</v>
      </c>
      <c r="H339">
        <v>27.2</v>
      </c>
      <c r="I339">
        <v>34</v>
      </c>
    </row>
    <row r="340" spans="1:9">
      <c r="A340" s="6">
        <v>44838</v>
      </c>
      <c r="B340" t="s">
        <v>49</v>
      </c>
      <c r="C340" t="s">
        <v>50</v>
      </c>
      <c r="E340" t="s">
        <v>563</v>
      </c>
      <c r="F340">
        <v>0</v>
      </c>
      <c r="G340">
        <v>0</v>
      </c>
      <c r="H340">
        <v>38.5</v>
      </c>
      <c r="I340">
        <v>68</v>
      </c>
    </row>
    <row r="341" spans="1:9">
      <c r="A341" s="6">
        <v>44840</v>
      </c>
      <c r="B341" t="s">
        <v>49</v>
      </c>
      <c r="C341" t="s">
        <v>50</v>
      </c>
      <c r="E341" t="s">
        <v>564</v>
      </c>
      <c r="F341">
        <v>0</v>
      </c>
      <c r="G341">
        <v>0</v>
      </c>
      <c r="H341">
        <v>33.1</v>
      </c>
      <c r="I341">
        <v>77</v>
      </c>
    </row>
    <row r="342" spans="1:9">
      <c r="A342" s="6">
        <v>44841</v>
      </c>
      <c r="B342" t="s">
        <v>49</v>
      </c>
      <c r="C342" t="s">
        <v>50</v>
      </c>
      <c r="F342">
        <v>0</v>
      </c>
      <c r="G342">
        <v>0</v>
      </c>
      <c r="H342">
        <v>19.2</v>
      </c>
      <c r="I342">
        <v>0</v>
      </c>
    </row>
    <row r="343" spans="1:9">
      <c r="A343" s="6">
        <v>44842</v>
      </c>
      <c r="B343" t="s">
        <v>49</v>
      </c>
      <c r="C343" t="s">
        <v>50</v>
      </c>
      <c r="E343" t="s">
        <v>565</v>
      </c>
      <c r="F343">
        <v>0</v>
      </c>
      <c r="G343">
        <v>0</v>
      </c>
      <c r="H343">
        <v>60.9</v>
      </c>
      <c r="I343">
        <v>71</v>
      </c>
    </row>
    <row r="344" spans="1:9">
      <c r="A344" s="6">
        <v>44844</v>
      </c>
      <c r="B344" t="s">
        <v>49</v>
      </c>
      <c r="C344" t="s">
        <v>50</v>
      </c>
      <c r="E344" t="s">
        <v>566</v>
      </c>
      <c r="F344">
        <v>4.7</v>
      </c>
      <c r="G344">
        <v>500</v>
      </c>
      <c r="H344">
        <v>109.9</v>
      </c>
      <c r="I344">
        <v>97</v>
      </c>
    </row>
    <row r="345" spans="1:9">
      <c r="A345" s="6">
        <v>44845</v>
      </c>
      <c r="B345" t="s">
        <v>49</v>
      </c>
      <c r="C345" t="s">
        <v>50</v>
      </c>
      <c r="E345" t="s">
        <v>567</v>
      </c>
      <c r="F345">
        <v>0</v>
      </c>
      <c r="G345">
        <v>0</v>
      </c>
      <c r="H345">
        <v>46.6</v>
      </c>
      <c r="I345">
        <v>57</v>
      </c>
    </row>
    <row r="346" spans="1:9">
      <c r="A346" s="6">
        <v>44846</v>
      </c>
      <c r="B346" t="s">
        <v>49</v>
      </c>
      <c r="C346" t="s">
        <v>50</v>
      </c>
      <c r="E346" t="s">
        <v>568</v>
      </c>
      <c r="F346">
        <v>0</v>
      </c>
      <c r="G346">
        <v>0</v>
      </c>
      <c r="H346">
        <v>45.5</v>
      </c>
      <c r="I346">
        <v>83</v>
      </c>
    </row>
    <row r="347" spans="1:9">
      <c r="A347" s="6">
        <v>44847</v>
      </c>
      <c r="B347" t="s">
        <v>49</v>
      </c>
      <c r="C347" t="s">
        <v>50</v>
      </c>
      <c r="E347" t="s">
        <v>569</v>
      </c>
      <c r="F347">
        <v>0</v>
      </c>
      <c r="G347">
        <v>0</v>
      </c>
      <c r="H347">
        <v>62.1</v>
      </c>
      <c r="I347">
        <v>64</v>
      </c>
    </row>
    <row r="348" spans="1:9">
      <c r="A348" s="6">
        <v>44848</v>
      </c>
      <c r="B348" t="s">
        <v>49</v>
      </c>
      <c r="C348" t="s">
        <v>50</v>
      </c>
      <c r="E348" t="s">
        <v>570</v>
      </c>
      <c r="F348">
        <v>4.7</v>
      </c>
      <c r="G348">
        <v>500</v>
      </c>
      <c r="H348">
        <v>75.900000000000006</v>
      </c>
      <c r="I348">
        <v>101</v>
      </c>
    </row>
    <row r="349" spans="1:9">
      <c r="A349" s="6">
        <v>44849</v>
      </c>
      <c r="B349" t="s">
        <v>49</v>
      </c>
      <c r="C349" t="s">
        <v>50</v>
      </c>
      <c r="E349" t="s">
        <v>571</v>
      </c>
      <c r="F349">
        <v>0</v>
      </c>
      <c r="G349">
        <v>0</v>
      </c>
      <c r="H349">
        <v>48.7</v>
      </c>
      <c r="I349">
        <v>67</v>
      </c>
    </row>
    <row r="350" spans="1:9">
      <c r="A350" s="6">
        <v>44835</v>
      </c>
      <c r="B350" t="s">
        <v>63</v>
      </c>
      <c r="C350" t="s">
        <v>64</v>
      </c>
      <c r="E350" t="s">
        <v>572</v>
      </c>
      <c r="F350">
        <v>0</v>
      </c>
      <c r="G350">
        <v>0</v>
      </c>
      <c r="H350">
        <v>52</v>
      </c>
      <c r="I350">
        <v>69</v>
      </c>
    </row>
    <row r="351" spans="1:9">
      <c r="A351" s="6">
        <v>44837</v>
      </c>
      <c r="B351" t="s">
        <v>63</v>
      </c>
      <c r="C351" t="s">
        <v>64</v>
      </c>
      <c r="E351" t="s">
        <v>573</v>
      </c>
      <c r="F351">
        <v>5.33</v>
      </c>
      <c r="G351">
        <v>550</v>
      </c>
      <c r="H351">
        <v>142.5</v>
      </c>
      <c r="I351">
        <v>77</v>
      </c>
    </row>
    <row r="352" spans="1:9">
      <c r="A352" s="6">
        <v>44838</v>
      </c>
      <c r="B352" t="s">
        <v>63</v>
      </c>
      <c r="C352" t="s">
        <v>64</v>
      </c>
      <c r="E352" t="s">
        <v>574</v>
      </c>
      <c r="F352">
        <v>0</v>
      </c>
      <c r="G352">
        <v>0</v>
      </c>
      <c r="H352">
        <v>60.1</v>
      </c>
      <c r="I352">
        <v>72</v>
      </c>
    </row>
    <row r="353" spans="1:9">
      <c r="A353" s="6">
        <v>44840</v>
      </c>
      <c r="B353" t="s">
        <v>63</v>
      </c>
      <c r="C353" t="s">
        <v>64</v>
      </c>
      <c r="E353" t="s">
        <v>575</v>
      </c>
      <c r="F353">
        <v>0</v>
      </c>
      <c r="G353">
        <v>0</v>
      </c>
      <c r="H353">
        <v>33.799999999999997</v>
      </c>
      <c r="I353">
        <v>58</v>
      </c>
    </row>
    <row r="354" spans="1:9">
      <c r="A354" s="6">
        <v>44841</v>
      </c>
      <c r="B354" t="s">
        <v>63</v>
      </c>
      <c r="C354" t="s">
        <v>64</v>
      </c>
      <c r="E354" t="s">
        <v>576</v>
      </c>
      <c r="F354">
        <v>4.95</v>
      </c>
      <c r="G354">
        <v>510</v>
      </c>
      <c r="H354">
        <v>32</v>
      </c>
      <c r="I354">
        <v>64</v>
      </c>
    </row>
    <row r="355" spans="1:9">
      <c r="A355" s="6">
        <v>44842</v>
      </c>
      <c r="B355" t="s">
        <v>63</v>
      </c>
      <c r="C355" t="s">
        <v>64</v>
      </c>
      <c r="E355" t="s">
        <v>577</v>
      </c>
      <c r="F355">
        <v>0</v>
      </c>
      <c r="G355">
        <v>0</v>
      </c>
      <c r="H355">
        <v>14.5</v>
      </c>
      <c r="I355">
        <v>27</v>
      </c>
    </row>
    <row r="356" spans="1:9">
      <c r="A356" s="6">
        <v>44844</v>
      </c>
      <c r="B356" t="s">
        <v>63</v>
      </c>
      <c r="C356" t="s">
        <v>64</v>
      </c>
      <c r="E356" t="s">
        <v>578</v>
      </c>
      <c r="F356">
        <v>0</v>
      </c>
      <c r="G356">
        <v>0</v>
      </c>
      <c r="H356">
        <v>82.7</v>
      </c>
      <c r="I356">
        <v>92</v>
      </c>
    </row>
    <row r="357" spans="1:9">
      <c r="A357" s="6">
        <v>44845</v>
      </c>
      <c r="B357" t="s">
        <v>63</v>
      </c>
      <c r="C357" t="s">
        <v>64</v>
      </c>
      <c r="E357" t="s">
        <v>579</v>
      </c>
      <c r="F357">
        <v>0</v>
      </c>
      <c r="G357">
        <v>0</v>
      </c>
      <c r="H357">
        <v>23.4</v>
      </c>
      <c r="I357">
        <v>30</v>
      </c>
    </row>
    <row r="358" spans="1:9">
      <c r="A358" s="6">
        <v>44846</v>
      </c>
      <c r="B358" t="s">
        <v>63</v>
      </c>
      <c r="C358" t="s">
        <v>64</v>
      </c>
      <c r="E358" t="s">
        <v>580</v>
      </c>
      <c r="F358">
        <v>0</v>
      </c>
      <c r="G358">
        <v>0</v>
      </c>
      <c r="H358">
        <v>38.700000000000003</v>
      </c>
      <c r="I358">
        <v>76</v>
      </c>
    </row>
    <row r="359" spans="1:9">
      <c r="A359" s="6">
        <v>44847</v>
      </c>
      <c r="B359" t="s">
        <v>63</v>
      </c>
      <c r="C359" t="s">
        <v>64</v>
      </c>
      <c r="E359" t="s">
        <v>581</v>
      </c>
      <c r="F359">
        <v>5.82</v>
      </c>
      <c r="G359">
        <v>600</v>
      </c>
      <c r="H359">
        <v>57.7</v>
      </c>
      <c r="I359">
        <v>73</v>
      </c>
    </row>
    <row r="360" spans="1:9">
      <c r="A360" s="6">
        <v>44848</v>
      </c>
      <c r="B360" t="s">
        <v>63</v>
      </c>
      <c r="C360" t="s">
        <v>64</v>
      </c>
      <c r="E360" t="s">
        <v>582</v>
      </c>
      <c r="F360">
        <v>0</v>
      </c>
      <c r="G360">
        <v>0</v>
      </c>
      <c r="H360">
        <v>90.1</v>
      </c>
      <c r="I360">
        <v>90</v>
      </c>
    </row>
    <row r="361" spans="1:9">
      <c r="A361" s="6">
        <v>44849</v>
      </c>
      <c r="B361" t="s">
        <v>63</v>
      </c>
      <c r="C361" t="s">
        <v>64</v>
      </c>
      <c r="E361" t="s">
        <v>583</v>
      </c>
      <c r="F361">
        <v>0</v>
      </c>
      <c r="G361">
        <v>0</v>
      </c>
      <c r="H361">
        <v>64.3</v>
      </c>
      <c r="I361">
        <v>84</v>
      </c>
    </row>
    <row r="362" spans="1:9">
      <c r="A362" s="6">
        <v>44835</v>
      </c>
      <c r="B362" t="s">
        <v>584</v>
      </c>
      <c r="C362" t="s">
        <v>585</v>
      </c>
      <c r="E362" t="s">
        <v>586</v>
      </c>
      <c r="F362">
        <v>2</v>
      </c>
      <c r="G362">
        <v>200</v>
      </c>
      <c r="H362">
        <v>64.099999999999994</v>
      </c>
      <c r="I362">
        <v>105</v>
      </c>
    </row>
    <row r="363" spans="1:9">
      <c r="A363" s="6">
        <v>44837</v>
      </c>
      <c r="B363" t="s">
        <v>584</v>
      </c>
      <c r="C363" t="s">
        <v>585</v>
      </c>
      <c r="E363" t="s">
        <v>587</v>
      </c>
      <c r="F363">
        <v>2</v>
      </c>
      <c r="G363">
        <v>200</v>
      </c>
      <c r="H363">
        <v>27.3</v>
      </c>
      <c r="I363">
        <v>51</v>
      </c>
    </row>
    <row r="364" spans="1:9">
      <c r="A364" s="6">
        <v>44838</v>
      </c>
      <c r="B364" t="s">
        <v>584</v>
      </c>
      <c r="C364" t="s">
        <v>585</v>
      </c>
      <c r="E364" t="s">
        <v>588</v>
      </c>
      <c r="F364">
        <v>2</v>
      </c>
      <c r="G364">
        <v>200</v>
      </c>
      <c r="H364">
        <v>115</v>
      </c>
      <c r="I364">
        <v>130</v>
      </c>
    </row>
    <row r="365" spans="1:9">
      <c r="A365" s="6">
        <v>44840</v>
      </c>
      <c r="B365" t="s">
        <v>584</v>
      </c>
      <c r="C365" t="s">
        <v>585</v>
      </c>
      <c r="E365" t="s">
        <v>589</v>
      </c>
      <c r="F365">
        <v>0</v>
      </c>
      <c r="G365">
        <v>0</v>
      </c>
      <c r="H365">
        <v>1.2</v>
      </c>
      <c r="I365">
        <v>3</v>
      </c>
    </row>
    <row r="366" spans="1:9">
      <c r="A366" s="6">
        <v>44841</v>
      </c>
      <c r="B366" t="s">
        <v>584</v>
      </c>
      <c r="C366" t="s">
        <v>585</v>
      </c>
      <c r="E366" t="s">
        <v>590</v>
      </c>
      <c r="F366">
        <v>2</v>
      </c>
      <c r="G366">
        <v>200</v>
      </c>
      <c r="H366">
        <v>117.9</v>
      </c>
      <c r="I366">
        <v>113</v>
      </c>
    </row>
    <row r="367" spans="1:9">
      <c r="A367" s="6">
        <v>44844</v>
      </c>
      <c r="B367" t="s">
        <v>584</v>
      </c>
      <c r="C367" t="s">
        <v>585</v>
      </c>
      <c r="E367" t="s">
        <v>591</v>
      </c>
      <c r="F367">
        <v>2</v>
      </c>
      <c r="G367">
        <v>200</v>
      </c>
      <c r="H367">
        <v>49.2</v>
      </c>
      <c r="I367">
        <v>63</v>
      </c>
    </row>
    <row r="368" spans="1:9">
      <c r="A368" s="6">
        <v>44845</v>
      </c>
      <c r="B368" t="s">
        <v>584</v>
      </c>
      <c r="C368" t="s">
        <v>585</v>
      </c>
      <c r="E368" t="s">
        <v>592</v>
      </c>
      <c r="F368">
        <v>0</v>
      </c>
      <c r="G368">
        <v>0</v>
      </c>
      <c r="H368">
        <v>44.1</v>
      </c>
      <c r="I368">
        <v>34</v>
      </c>
    </row>
    <row r="369" spans="1:9">
      <c r="A369" s="6">
        <v>44846</v>
      </c>
      <c r="B369" t="s">
        <v>584</v>
      </c>
      <c r="C369" t="s">
        <v>585</v>
      </c>
      <c r="F369">
        <v>2</v>
      </c>
      <c r="G369">
        <v>200</v>
      </c>
      <c r="H369">
        <v>103</v>
      </c>
      <c r="I369">
        <v>0</v>
      </c>
    </row>
    <row r="370" spans="1:9">
      <c r="A370" s="6">
        <v>44847</v>
      </c>
      <c r="B370" t="s">
        <v>584</v>
      </c>
      <c r="C370" t="s">
        <v>585</v>
      </c>
      <c r="E370" t="s">
        <v>593</v>
      </c>
      <c r="F370">
        <v>2</v>
      </c>
      <c r="G370">
        <v>200</v>
      </c>
      <c r="H370">
        <v>47.8</v>
      </c>
      <c r="I370">
        <v>66</v>
      </c>
    </row>
    <row r="371" spans="1:9">
      <c r="A371" s="6">
        <v>44848</v>
      </c>
      <c r="B371" t="s">
        <v>584</v>
      </c>
      <c r="C371" t="s">
        <v>585</v>
      </c>
      <c r="E371" t="s">
        <v>594</v>
      </c>
      <c r="F371">
        <v>0</v>
      </c>
      <c r="G371">
        <v>0</v>
      </c>
      <c r="H371">
        <v>67.5</v>
      </c>
      <c r="I371">
        <v>80</v>
      </c>
    </row>
    <row r="372" spans="1:9">
      <c r="A372" s="6">
        <v>44849</v>
      </c>
      <c r="B372" t="s">
        <v>584</v>
      </c>
      <c r="C372" t="s">
        <v>585</v>
      </c>
      <c r="E372" t="s">
        <v>595</v>
      </c>
      <c r="F372">
        <v>2</v>
      </c>
      <c r="G372">
        <v>200</v>
      </c>
      <c r="H372">
        <v>51.9</v>
      </c>
      <c r="I372">
        <v>49</v>
      </c>
    </row>
    <row r="373" spans="1:9">
      <c r="A373" s="6">
        <v>44835</v>
      </c>
      <c r="B373" t="s">
        <v>596</v>
      </c>
      <c r="C373" t="s">
        <v>597</v>
      </c>
      <c r="D373" t="s">
        <v>598</v>
      </c>
      <c r="F373">
        <v>0</v>
      </c>
      <c r="G373">
        <v>0</v>
      </c>
      <c r="H373">
        <v>0.4</v>
      </c>
      <c r="I373">
        <v>65</v>
      </c>
    </row>
    <row r="374" spans="1:9">
      <c r="A374" s="6">
        <v>44837</v>
      </c>
      <c r="B374" t="s">
        <v>596</v>
      </c>
      <c r="C374" t="s">
        <v>597</v>
      </c>
      <c r="D374" t="s">
        <v>599</v>
      </c>
      <c r="F374">
        <v>0</v>
      </c>
      <c r="G374">
        <v>0</v>
      </c>
      <c r="H374">
        <v>7.8</v>
      </c>
      <c r="I374">
        <v>14</v>
      </c>
    </row>
    <row r="375" spans="1:9">
      <c r="A375" s="6">
        <v>44838</v>
      </c>
      <c r="B375" t="s">
        <v>596</v>
      </c>
      <c r="C375" t="s">
        <v>597</v>
      </c>
      <c r="D375" t="s">
        <v>600</v>
      </c>
      <c r="F375">
        <v>0</v>
      </c>
      <c r="G375">
        <v>0</v>
      </c>
      <c r="H375">
        <v>238.5</v>
      </c>
      <c r="I375">
        <v>0</v>
      </c>
    </row>
    <row r="376" spans="1:9">
      <c r="A376" s="6">
        <v>44839</v>
      </c>
      <c r="B376" t="s">
        <v>596</v>
      </c>
      <c r="C376" t="s">
        <v>597</v>
      </c>
      <c r="D376" t="s">
        <v>601</v>
      </c>
      <c r="F376">
        <v>0</v>
      </c>
      <c r="G376">
        <v>0</v>
      </c>
      <c r="H376">
        <v>2.5</v>
      </c>
      <c r="I376">
        <v>15</v>
      </c>
    </row>
    <row r="377" spans="1:9">
      <c r="A377" s="6">
        <v>44840</v>
      </c>
      <c r="B377" t="s">
        <v>596</v>
      </c>
      <c r="C377" t="s">
        <v>597</v>
      </c>
      <c r="D377" t="s">
        <v>602</v>
      </c>
      <c r="F377">
        <v>3.1</v>
      </c>
      <c r="G377">
        <v>300</v>
      </c>
      <c r="H377">
        <v>7.6</v>
      </c>
      <c r="I377">
        <v>85</v>
      </c>
    </row>
    <row r="378" spans="1:9">
      <c r="A378" s="6">
        <v>44841</v>
      </c>
      <c r="B378" t="s">
        <v>596</v>
      </c>
      <c r="C378" t="s">
        <v>597</v>
      </c>
      <c r="D378" t="s">
        <v>603</v>
      </c>
      <c r="F378">
        <v>0</v>
      </c>
      <c r="G378">
        <v>0</v>
      </c>
      <c r="H378">
        <v>3.1</v>
      </c>
      <c r="I378">
        <v>0</v>
      </c>
    </row>
    <row r="379" spans="1:9">
      <c r="A379" s="6">
        <v>44842</v>
      </c>
      <c r="B379" t="s">
        <v>596</v>
      </c>
      <c r="C379" t="s">
        <v>597</v>
      </c>
      <c r="D379" t="s">
        <v>604</v>
      </c>
      <c r="F379">
        <v>0</v>
      </c>
      <c r="G379">
        <v>0</v>
      </c>
      <c r="H379">
        <v>7.6</v>
      </c>
      <c r="I379">
        <v>0</v>
      </c>
    </row>
    <row r="380" spans="1:9">
      <c r="A380" s="6">
        <v>44844</v>
      </c>
      <c r="B380" t="s">
        <v>596</v>
      </c>
      <c r="C380" t="s">
        <v>597</v>
      </c>
      <c r="D380" t="s">
        <v>605</v>
      </c>
      <c r="F380">
        <v>2.58</v>
      </c>
      <c r="G380">
        <v>250</v>
      </c>
      <c r="H380">
        <v>8.1999999999999993</v>
      </c>
      <c r="I380">
        <v>18</v>
      </c>
    </row>
    <row r="381" spans="1:9">
      <c r="A381" s="6">
        <v>44845</v>
      </c>
      <c r="B381" t="s">
        <v>596</v>
      </c>
      <c r="C381" t="s">
        <v>597</v>
      </c>
      <c r="D381" t="s">
        <v>606</v>
      </c>
      <c r="F381">
        <v>0</v>
      </c>
      <c r="G381">
        <v>0</v>
      </c>
      <c r="H381">
        <v>44</v>
      </c>
      <c r="I381">
        <v>69</v>
      </c>
    </row>
    <row r="382" spans="1:9">
      <c r="A382" s="6">
        <v>44846</v>
      </c>
      <c r="B382" t="s">
        <v>596</v>
      </c>
      <c r="C382" t="s">
        <v>597</v>
      </c>
      <c r="D382" t="s">
        <v>607</v>
      </c>
      <c r="F382">
        <v>0</v>
      </c>
      <c r="G382">
        <v>0</v>
      </c>
      <c r="H382">
        <v>0.5</v>
      </c>
      <c r="I382">
        <v>0</v>
      </c>
    </row>
    <row r="383" spans="1:9">
      <c r="A383" s="6">
        <v>44847</v>
      </c>
      <c r="B383" t="s">
        <v>596</v>
      </c>
      <c r="C383" t="s">
        <v>597</v>
      </c>
      <c r="D383" t="s">
        <v>608</v>
      </c>
      <c r="F383">
        <v>0</v>
      </c>
      <c r="G383">
        <v>0</v>
      </c>
      <c r="H383">
        <v>0.1</v>
      </c>
      <c r="I383">
        <v>42</v>
      </c>
    </row>
    <row r="384" spans="1:9">
      <c r="A384" s="6">
        <v>44848</v>
      </c>
      <c r="B384" t="s">
        <v>596</v>
      </c>
      <c r="C384" t="s">
        <v>597</v>
      </c>
      <c r="D384" t="s">
        <v>609</v>
      </c>
      <c r="F384">
        <v>0</v>
      </c>
      <c r="G384">
        <v>0</v>
      </c>
      <c r="H384">
        <v>0.4</v>
      </c>
      <c r="I384">
        <v>15</v>
      </c>
    </row>
    <row r="385" spans="1:9">
      <c r="A385" s="6">
        <v>44849</v>
      </c>
      <c r="B385" t="s">
        <v>596</v>
      </c>
      <c r="C385" t="s">
        <v>597</v>
      </c>
      <c r="D385" t="s">
        <v>610</v>
      </c>
      <c r="F385">
        <v>0</v>
      </c>
      <c r="G385">
        <v>0</v>
      </c>
      <c r="H385">
        <v>13.4</v>
      </c>
      <c r="I385">
        <v>22</v>
      </c>
    </row>
    <row r="386" spans="1:9">
      <c r="A386" s="6">
        <v>44835</v>
      </c>
      <c r="B386" t="s">
        <v>51</v>
      </c>
      <c r="C386" t="s">
        <v>611</v>
      </c>
      <c r="E386" t="s">
        <v>612</v>
      </c>
      <c r="F386">
        <v>2.2000000000000002</v>
      </c>
      <c r="G386">
        <v>210</v>
      </c>
      <c r="H386">
        <v>107.2</v>
      </c>
      <c r="I386">
        <v>113</v>
      </c>
    </row>
    <row r="387" spans="1:9">
      <c r="A387" s="6">
        <v>44837</v>
      </c>
      <c r="B387" t="s">
        <v>51</v>
      </c>
      <c r="C387" t="s">
        <v>611</v>
      </c>
      <c r="E387" t="s">
        <v>613</v>
      </c>
      <c r="F387">
        <v>0</v>
      </c>
      <c r="G387">
        <v>0</v>
      </c>
      <c r="H387">
        <v>21.6</v>
      </c>
      <c r="I387">
        <v>24</v>
      </c>
    </row>
    <row r="388" spans="1:9">
      <c r="A388" s="6">
        <v>44838</v>
      </c>
      <c r="B388" t="s">
        <v>51</v>
      </c>
      <c r="C388" t="s">
        <v>611</v>
      </c>
      <c r="E388" t="s">
        <v>614</v>
      </c>
      <c r="F388">
        <v>5.7</v>
      </c>
      <c r="G388">
        <v>550</v>
      </c>
      <c r="H388">
        <v>185.3</v>
      </c>
      <c r="I388">
        <v>216</v>
      </c>
    </row>
    <row r="389" spans="1:9">
      <c r="A389" s="6">
        <v>44840</v>
      </c>
      <c r="B389" t="s">
        <v>51</v>
      </c>
      <c r="C389" t="s">
        <v>611</v>
      </c>
      <c r="E389" t="s">
        <v>615</v>
      </c>
      <c r="F389">
        <v>0</v>
      </c>
      <c r="G389">
        <v>0</v>
      </c>
      <c r="H389">
        <v>33.4</v>
      </c>
      <c r="I389">
        <v>28</v>
      </c>
    </row>
    <row r="390" spans="1:9">
      <c r="A390" s="6">
        <v>44841</v>
      </c>
      <c r="B390" t="s">
        <v>51</v>
      </c>
      <c r="C390" t="s">
        <v>611</v>
      </c>
      <c r="E390" t="s">
        <v>616</v>
      </c>
      <c r="F390">
        <v>1.1200000000000001</v>
      </c>
      <c r="G390">
        <v>110</v>
      </c>
      <c r="H390">
        <v>5.5</v>
      </c>
      <c r="I390">
        <v>29</v>
      </c>
    </row>
    <row r="391" spans="1:9">
      <c r="A391" s="6">
        <v>44842</v>
      </c>
      <c r="B391" t="s">
        <v>51</v>
      </c>
      <c r="C391" t="s">
        <v>611</v>
      </c>
      <c r="F391">
        <v>0</v>
      </c>
      <c r="G391">
        <v>0</v>
      </c>
      <c r="H391">
        <v>30.1</v>
      </c>
      <c r="I391">
        <v>0</v>
      </c>
    </row>
    <row r="392" spans="1:9">
      <c r="A392" s="6">
        <v>44844</v>
      </c>
      <c r="B392" t="s">
        <v>51</v>
      </c>
      <c r="C392" t="s">
        <v>611</v>
      </c>
      <c r="E392" t="s">
        <v>617</v>
      </c>
      <c r="F392">
        <v>1.53</v>
      </c>
      <c r="G392">
        <v>150</v>
      </c>
      <c r="H392">
        <v>7.8</v>
      </c>
      <c r="I392">
        <v>70</v>
      </c>
    </row>
    <row r="393" spans="1:9">
      <c r="A393" s="6">
        <v>44845</v>
      </c>
      <c r="B393" t="s">
        <v>51</v>
      </c>
      <c r="C393" t="s">
        <v>611</v>
      </c>
      <c r="F393">
        <v>0</v>
      </c>
      <c r="G393">
        <v>0</v>
      </c>
      <c r="H393">
        <v>2</v>
      </c>
      <c r="I393">
        <v>0</v>
      </c>
    </row>
    <row r="394" spans="1:9">
      <c r="A394" s="6">
        <v>44846</v>
      </c>
      <c r="B394" t="s">
        <v>51</v>
      </c>
      <c r="C394" t="s">
        <v>611</v>
      </c>
      <c r="E394" t="s">
        <v>618</v>
      </c>
      <c r="F394">
        <v>4.18</v>
      </c>
      <c r="G394">
        <v>410</v>
      </c>
      <c r="H394">
        <v>0.4</v>
      </c>
      <c r="I394">
        <v>181</v>
      </c>
    </row>
    <row r="395" spans="1:9">
      <c r="A395" s="6">
        <v>44847</v>
      </c>
      <c r="B395" t="s">
        <v>51</v>
      </c>
      <c r="C395" t="s">
        <v>611</v>
      </c>
      <c r="E395" t="s">
        <v>619</v>
      </c>
      <c r="F395">
        <v>3.21</v>
      </c>
      <c r="G395">
        <v>310</v>
      </c>
      <c r="H395">
        <v>140.1</v>
      </c>
      <c r="I395">
        <v>145</v>
      </c>
    </row>
    <row r="396" spans="1:9">
      <c r="A396" s="6">
        <v>44848</v>
      </c>
      <c r="B396" t="s">
        <v>51</v>
      </c>
      <c r="C396" t="s">
        <v>611</v>
      </c>
      <c r="F396">
        <v>0</v>
      </c>
      <c r="G396">
        <v>0</v>
      </c>
      <c r="H396">
        <v>0.4</v>
      </c>
      <c r="I396">
        <v>0</v>
      </c>
    </row>
    <row r="397" spans="1:9">
      <c r="A397" s="6">
        <v>44849</v>
      </c>
      <c r="B397" t="s">
        <v>51</v>
      </c>
      <c r="C397" t="s">
        <v>611</v>
      </c>
      <c r="E397" t="s">
        <v>620</v>
      </c>
      <c r="F397">
        <v>3.11</v>
      </c>
      <c r="G397">
        <v>300</v>
      </c>
      <c r="H397">
        <v>21.1</v>
      </c>
      <c r="I397">
        <v>24</v>
      </c>
    </row>
    <row r="398" spans="1:9">
      <c r="A398" s="6">
        <v>44835</v>
      </c>
      <c r="B398" t="s">
        <v>621</v>
      </c>
      <c r="C398" t="s">
        <v>65</v>
      </c>
      <c r="E398" t="s">
        <v>622</v>
      </c>
      <c r="F398">
        <v>0</v>
      </c>
      <c r="G398">
        <v>0</v>
      </c>
      <c r="H398">
        <v>14.4</v>
      </c>
      <c r="I398">
        <v>21</v>
      </c>
    </row>
    <row r="399" spans="1:9">
      <c r="A399" s="6">
        <v>44836</v>
      </c>
      <c r="B399" t="s">
        <v>621</v>
      </c>
      <c r="C399" t="s">
        <v>65</v>
      </c>
      <c r="E399" t="s">
        <v>623</v>
      </c>
      <c r="F399">
        <v>0</v>
      </c>
      <c r="G399">
        <v>0</v>
      </c>
      <c r="H399">
        <v>12.2</v>
      </c>
      <c r="I399">
        <v>25</v>
      </c>
    </row>
    <row r="400" spans="1:9">
      <c r="A400" s="6">
        <v>44837</v>
      </c>
      <c r="B400" t="s">
        <v>621</v>
      </c>
      <c r="C400" t="s">
        <v>65</v>
      </c>
      <c r="E400" t="s">
        <v>624</v>
      </c>
      <c r="F400">
        <v>0</v>
      </c>
      <c r="G400">
        <v>0</v>
      </c>
      <c r="H400">
        <v>20.100000000000001</v>
      </c>
      <c r="I400">
        <v>27</v>
      </c>
    </row>
    <row r="401" spans="1:9">
      <c r="A401" s="6">
        <v>44838</v>
      </c>
      <c r="B401" t="s">
        <v>621</v>
      </c>
      <c r="C401" t="s">
        <v>65</v>
      </c>
      <c r="E401" t="s">
        <v>625</v>
      </c>
      <c r="F401">
        <v>0</v>
      </c>
      <c r="G401">
        <v>0</v>
      </c>
      <c r="H401">
        <v>3.7</v>
      </c>
      <c r="I401">
        <v>11</v>
      </c>
    </row>
    <row r="402" spans="1:9">
      <c r="A402" s="6">
        <v>44840</v>
      </c>
      <c r="B402" t="s">
        <v>621</v>
      </c>
      <c r="C402" t="s">
        <v>65</v>
      </c>
      <c r="E402" t="s">
        <v>626</v>
      </c>
      <c r="F402">
        <v>0</v>
      </c>
      <c r="G402">
        <v>0</v>
      </c>
      <c r="H402">
        <v>44.9</v>
      </c>
      <c r="I402">
        <v>10</v>
      </c>
    </row>
    <row r="403" spans="1:9">
      <c r="A403" s="6">
        <v>44841</v>
      </c>
      <c r="B403" t="s">
        <v>621</v>
      </c>
      <c r="C403" t="s">
        <v>65</v>
      </c>
      <c r="E403" t="s">
        <v>627</v>
      </c>
      <c r="F403">
        <v>0</v>
      </c>
      <c r="G403">
        <v>0</v>
      </c>
      <c r="H403">
        <v>7.6</v>
      </c>
      <c r="I403">
        <v>14</v>
      </c>
    </row>
    <row r="404" spans="1:9">
      <c r="A404" s="6">
        <v>44842</v>
      </c>
      <c r="B404" t="s">
        <v>621</v>
      </c>
      <c r="C404" t="s">
        <v>65</v>
      </c>
      <c r="E404" t="s">
        <v>628</v>
      </c>
      <c r="F404">
        <v>1.96</v>
      </c>
      <c r="G404">
        <v>200</v>
      </c>
      <c r="H404">
        <v>54.7</v>
      </c>
      <c r="I404">
        <v>76</v>
      </c>
    </row>
    <row r="405" spans="1:9">
      <c r="A405" s="6">
        <v>44844</v>
      </c>
      <c r="B405" t="s">
        <v>621</v>
      </c>
      <c r="C405" t="s">
        <v>65</v>
      </c>
      <c r="E405" t="s">
        <v>629</v>
      </c>
      <c r="F405">
        <v>0</v>
      </c>
      <c r="G405">
        <v>0</v>
      </c>
      <c r="H405">
        <v>2.6</v>
      </c>
      <c r="I405">
        <v>4</v>
      </c>
    </row>
    <row r="406" spans="1:9">
      <c r="A406" s="6">
        <v>44845</v>
      </c>
      <c r="B406" t="s">
        <v>621</v>
      </c>
      <c r="C406" t="s">
        <v>65</v>
      </c>
      <c r="E406" t="s">
        <v>630</v>
      </c>
      <c r="F406">
        <v>3.79</v>
      </c>
      <c r="G406">
        <v>400</v>
      </c>
      <c r="H406">
        <v>49.9</v>
      </c>
      <c r="I406">
        <v>61</v>
      </c>
    </row>
    <row r="407" spans="1:9">
      <c r="A407" s="6">
        <v>44846</v>
      </c>
      <c r="B407" t="s">
        <v>621</v>
      </c>
      <c r="C407" t="s">
        <v>65</v>
      </c>
      <c r="E407" t="s">
        <v>631</v>
      </c>
      <c r="F407">
        <v>0</v>
      </c>
      <c r="G407">
        <v>0</v>
      </c>
      <c r="H407">
        <v>12.2</v>
      </c>
      <c r="I407">
        <v>27</v>
      </c>
    </row>
    <row r="408" spans="1:9">
      <c r="A408" s="6">
        <v>44847</v>
      </c>
      <c r="B408" t="s">
        <v>621</v>
      </c>
      <c r="C408" t="s">
        <v>65</v>
      </c>
      <c r="E408" t="s">
        <v>632</v>
      </c>
      <c r="F408">
        <v>0</v>
      </c>
      <c r="G408">
        <v>0</v>
      </c>
      <c r="H408">
        <v>57.9</v>
      </c>
      <c r="I408">
        <v>82</v>
      </c>
    </row>
    <row r="409" spans="1:9">
      <c r="A409" s="6">
        <v>44848</v>
      </c>
      <c r="B409" t="s">
        <v>621</v>
      </c>
      <c r="C409" t="s">
        <v>65</v>
      </c>
      <c r="E409" t="s">
        <v>633</v>
      </c>
      <c r="F409">
        <v>0</v>
      </c>
      <c r="G409">
        <v>0</v>
      </c>
      <c r="H409">
        <v>3.4</v>
      </c>
      <c r="I409">
        <v>12</v>
      </c>
    </row>
    <row r="410" spans="1:9">
      <c r="A410" s="6">
        <v>44849</v>
      </c>
      <c r="B410" t="s">
        <v>621</v>
      </c>
      <c r="C410" t="s">
        <v>65</v>
      </c>
      <c r="F410">
        <v>0</v>
      </c>
      <c r="G410">
        <v>0</v>
      </c>
      <c r="H410">
        <v>8</v>
      </c>
      <c r="I410">
        <v>0</v>
      </c>
    </row>
    <row r="411" spans="1:9">
      <c r="A411" s="6">
        <v>44835</v>
      </c>
      <c r="B411" t="s">
        <v>78</v>
      </c>
      <c r="C411" t="s">
        <v>79</v>
      </c>
      <c r="E411" t="s">
        <v>634</v>
      </c>
      <c r="F411">
        <v>32.840000000000003</v>
      </c>
      <c r="G411">
        <v>3349.68</v>
      </c>
      <c r="H411">
        <v>130.30000000000001</v>
      </c>
      <c r="I411">
        <v>98</v>
      </c>
    </row>
    <row r="412" spans="1:9">
      <c r="A412" s="6">
        <v>44837</v>
      </c>
      <c r="B412" t="s">
        <v>78</v>
      </c>
      <c r="C412" t="s">
        <v>79</v>
      </c>
      <c r="F412">
        <v>0</v>
      </c>
      <c r="G412">
        <v>0</v>
      </c>
      <c r="H412">
        <v>24.6</v>
      </c>
      <c r="I412">
        <v>0</v>
      </c>
    </row>
    <row r="413" spans="1:9">
      <c r="A413" s="6">
        <v>44838</v>
      </c>
      <c r="B413" t="s">
        <v>78</v>
      </c>
      <c r="C413" t="s">
        <v>79</v>
      </c>
      <c r="E413" t="s">
        <v>635</v>
      </c>
      <c r="F413">
        <v>0</v>
      </c>
      <c r="G413">
        <v>0</v>
      </c>
      <c r="H413">
        <v>0</v>
      </c>
      <c r="I413">
        <v>36</v>
      </c>
    </row>
    <row r="414" spans="1:9">
      <c r="A414" s="6">
        <v>44839</v>
      </c>
      <c r="B414" t="s">
        <v>78</v>
      </c>
      <c r="C414" t="s">
        <v>79</v>
      </c>
      <c r="E414" t="s">
        <v>636</v>
      </c>
      <c r="F414">
        <v>0</v>
      </c>
      <c r="G414">
        <v>0</v>
      </c>
      <c r="H414">
        <v>0.3</v>
      </c>
      <c r="I414">
        <v>16</v>
      </c>
    </row>
    <row r="415" spans="1:9">
      <c r="A415" s="6">
        <v>44840</v>
      </c>
      <c r="B415" t="s">
        <v>78</v>
      </c>
      <c r="C415" t="s">
        <v>79</v>
      </c>
      <c r="E415" t="s">
        <v>637</v>
      </c>
      <c r="F415">
        <v>0</v>
      </c>
      <c r="G415">
        <v>0</v>
      </c>
      <c r="H415">
        <v>98</v>
      </c>
      <c r="I415">
        <v>100</v>
      </c>
    </row>
    <row r="416" spans="1:9">
      <c r="A416" s="6">
        <v>44841</v>
      </c>
      <c r="B416" t="s">
        <v>78</v>
      </c>
      <c r="C416" t="s">
        <v>79</v>
      </c>
      <c r="E416" t="s">
        <v>638</v>
      </c>
      <c r="F416">
        <v>0</v>
      </c>
      <c r="G416">
        <v>0</v>
      </c>
      <c r="H416">
        <v>77.900000000000006</v>
      </c>
      <c r="I416">
        <v>17</v>
      </c>
    </row>
    <row r="417" spans="1:9">
      <c r="A417" s="6">
        <v>44842</v>
      </c>
      <c r="B417" t="s">
        <v>78</v>
      </c>
      <c r="C417" t="s">
        <v>79</v>
      </c>
      <c r="E417" t="s">
        <v>639</v>
      </c>
      <c r="F417">
        <v>0</v>
      </c>
      <c r="G417">
        <v>0</v>
      </c>
      <c r="H417">
        <v>129.30000000000001</v>
      </c>
      <c r="I417">
        <v>94</v>
      </c>
    </row>
    <row r="418" spans="1:9">
      <c r="A418" s="6">
        <v>44843</v>
      </c>
      <c r="B418" t="s">
        <v>78</v>
      </c>
      <c r="C418" t="s">
        <v>79</v>
      </c>
      <c r="E418" t="s">
        <v>640</v>
      </c>
      <c r="F418">
        <v>0</v>
      </c>
      <c r="G418">
        <v>0</v>
      </c>
      <c r="H418">
        <v>0</v>
      </c>
      <c r="I418">
        <v>44</v>
      </c>
    </row>
    <row r="419" spans="1:9">
      <c r="A419" s="6">
        <v>44844</v>
      </c>
      <c r="B419" t="s">
        <v>78</v>
      </c>
      <c r="C419" t="s">
        <v>79</v>
      </c>
      <c r="F419">
        <v>0</v>
      </c>
      <c r="G419">
        <v>0</v>
      </c>
      <c r="H419">
        <v>0</v>
      </c>
      <c r="I419">
        <v>0</v>
      </c>
    </row>
    <row r="420" spans="1:9">
      <c r="A420" s="6">
        <v>44845</v>
      </c>
      <c r="B420" t="s">
        <v>78</v>
      </c>
      <c r="C420" t="s">
        <v>79</v>
      </c>
      <c r="E420" t="s">
        <v>641</v>
      </c>
      <c r="F420">
        <v>0</v>
      </c>
      <c r="G420">
        <v>0</v>
      </c>
      <c r="H420">
        <v>0</v>
      </c>
      <c r="I420">
        <v>32</v>
      </c>
    </row>
    <row r="421" spans="1:9">
      <c r="A421" s="6">
        <v>44846</v>
      </c>
      <c r="B421" t="s">
        <v>78</v>
      </c>
      <c r="C421" t="s">
        <v>79</v>
      </c>
      <c r="F421">
        <v>0</v>
      </c>
      <c r="G421">
        <v>0</v>
      </c>
      <c r="H421">
        <v>45.6</v>
      </c>
      <c r="I421">
        <v>0</v>
      </c>
    </row>
    <row r="422" spans="1:9">
      <c r="A422" s="6">
        <v>44847</v>
      </c>
      <c r="B422" t="s">
        <v>78</v>
      </c>
      <c r="C422" t="s">
        <v>79</v>
      </c>
      <c r="F422">
        <v>0</v>
      </c>
      <c r="G422">
        <v>0</v>
      </c>
      <c r="H422">
        <v>24</v>
      </c>
      <c r="I422">
        <v>0</v>
      </c>
    </row>
    <row r="423" spans="1:9">
      <c r="A423" s="6">
        <v>44848</v>
      </c>
      <c r="B423" t="s">
        <v>78</v>
      </c>
      <c r="C423" t="s">
        <v>79</v>
      </c>
      <c r="F423">
        <v>0</v>
      </c>
      <c r="G423">
        <v>0</v>
      </c>
      <c r="H423">
        <v>0</v>
      </c>
      <c r="I423">
        <v>0</v>
      </c>
    </row>
    <row r="424" spans="1:9">
      <c r="A424" s="6">
        <v>44849</v>
      </c>
      <c r="B424" t="s">
        <v>78</v>
      </c>
      <c r="C424" t="s">
        <v>79</v>
      </c>
      <c r="F424">
        <v>0</v>
      </c>
      <c r="G424">
        <v>0</v>
      </c>
      <c r="H424">
        <v>0</v>
      </c>
      <c r="I424">
        <v>0</v>
      </c>
    </row>
    <row r="425" spans="1:9">
      <c r="A425" s="6">
        <v>44835</v>
      </c>
      <c r="B425" t="s">
        <v>98</v>
      </c>
      <c r="C425" t="s">
        <v>99</v>
      </c>
      <c r="F425">
        <v>0</v>
      </c>
      <c r="G425">
        <v>0</v>
      </c>
      <c r="H425">
        <v>55.2</v>
      </c>
      <c r="I425">
        <v>0</v>
      </c>
    </row>
    <row r="426" spans="1:9">
      <c r="A426" s="6">
        <v>44837</v>
      </c>
      <c r="B426" t="s">
        <v>98</v>
      </c>
      <c r="C426" t="s">
        <v>99</v>
      </c>
      <c r="E426" t="s">
        <v>642</v>
      </c>
      <c r="F426">
        <v>0</v>
      </c>
      <c r="G426">
        <v>0</v>
      </c>
      <c r="H426">
        <v>75.7</v>
      </c>
      <c r="I426">
        <v>20</v>
      </c>
    </row>
    <row r="427" spans="1:9">
      <c r="A427" s="6">
        <v>44838</v>
      </c>
      <c r="B427" t="s">
        <v>98</v>
      </c>
      <c r="C427" t="s">
        <v>99</v>
      </c>
      <c r="F427">
        <v>0</v>
      </c>
      <c r="G427">
        <v>0</v>
      </c>
      <c r="H427">
        <v>27.1</v>
      </c>
      <c r="I427">
        <v>0</v>
      </c>
    </row>
    <row r="428" spans="1:9">
      <c r="A428" s="6">
        <v>44840</v>
      </c>
      <c r="B428" t="s">
        <v>98</v>
      </c>
      <c r="C428" t="s">
        <v>99</v>
      </c>
      <c r="E428" t="s">
        <v>643</v>
      </c>
      <c r="F428">
        <v>2.8</v>
      </c>
      <c r="G428">
        <v>300</v>
      </c>
      <c r="H428">
        <v>64.400000000000006</v>
      </c>
      <c r="I428">
        <v>63</v>
      </c>
    </row>
    <row r="429" spans="1:9">
      <c r="A429" s="6">
        <v>44841</v>
      </c>
      <c r="B429" t="s">
        <v>98</v>
      </c>
      <c r="C429" t="s">
        <v>99</v>
      </c>
      <c r="F429">
        <v>0</v>
      </c>
      <c r="G429">
        <v>0</v>
      </c>
      <c r="H429">
        <v>28.4</v>
      </c>
      <c r="I429">
        <v>0</v>
      </c>
    </row>
    <row r="430" spans="1:9">
      <c r="A430" s="6">
        <v>44842</v>
      </c>
      <c r="B430" t="s">
        <v>98</v>
      </c>
      <c r="C430" t="s">
        <v>99</v>
      </c>
      <c r="E430" t="s">
        <v>644</v>
      </c>
      <c r="F430">
        <v>0</v>
      </c>
      <c r="G430">
        <v>0</v>
      </c>
      <c r="H430">
        <v>77.5</v>
      </c>
      <c r="I430">
        <v>40</v>
      </c>
    </row>
    <row r="431" spans="1:9">
      <c r="A431" s="6">
        <v>44844</v>
      </c>
      <c r="B431" t="s">
        <v>98</v>
      </c>
      <c r="C431" t="s">
        <v>99</v>
      </c>
      <c r="F431">
        <v>0</v>
      </c>
      <c r="G431">
        <v>0</v>
      </c>
      <c r="H431">
        <v>55.7</v>
      </c>
      <c r="I431">
        <v>0</v>
      </c>
    </row>
    <row r="432" spans="1:9">
      <c r="A432" s="6">
        <v>44845</v>
      </c>
      <c r="B432" t="s">
        <v>98</v>
      </c>
      <c r="C432" t="s">
        <v>99</v>
      </c>
      <c r="E432" t="s">
        <v>645</v>
      </c>
      <c r="F432">
        <v>2.8</v>
      </c>
      <c r="G432">
        <v>300</v>
      </c>
      <c r="H432">
        <v>71.3</v>
      </c>
      <c r="I432">
        <v>42</v>
      </c>
    </row>
    <row r="433" spans="1:9">
      <c r="A433" s="6">
        <v>44846</v>
      </c>
      <c r="B433" t="s">
        <v>98</v>
      </c>
      <c r="C433" t="s">
        <v>99</v>
      </c>
      <c r="E433" t="s">
        <v>646</v>
      </c>
      <c r="F433">
        <v>0</v>
      </c>
      <c r="G433">
        <v>0</v>
      </c>
      <c r="H433">
        <v>55.9</v>
      </c>
      <c r="I433">
        <v>27</v>
      </c>
    </row>
    <row r="434" spans="1:9">
      <c r="A434" s="6">
        <v>44847</v>
      </c>
      <c r="B434" t="s">
        <v>98</v>
      </c>
      <c r="C434" t="s">
        <v>99</v>
      </c>
      <c r="E434" t="s">
        <v>647</v>
      </c>
      <c r="F434">
        <v>0</v>
      </c>
      <c r="G434">
        <v>0</v>
      </c>
      <c r="H434">
        <v>41.2</v>
      </c>
      <c r="I434">
        <v>32</v>
      </c>
    </row>
    <row r="435" spans="1:9">
      <c r="A435" s="6">
        <v>44848</v>
      </c>
      <c r="B435" t="s">
        <v>98</v>
      </c>
      <c r="C435" t="s">
        <v>99</v>
      </c>
      <c r="E435" t="s">
        <v>648</v>
      </c>
      <c r="F435">
        <v>0</v>
      </c>
      <c r="G435">
        <v>0</v>
      </c>
      <c r="H435">
        <v>50.6</v>
      </c>
      <c r="I435">
        <v>43</v>
      </c>
    </row>
    <row r="436" spans="1:9">
      <c r="A436" s="6">
        <v>44849</v>
      </c>
      <c r="B436" t="s">
        <v>98</v>
      </c>
      <c r="C436" t="s">
        <v>99</v>
      </c>
      <c r="E436" t="s">
        <v>649</v>
      </c>
      <c r="F436">
        <v>2.8</v>
      </c>
      <c r="G436">
        <v>300</v>
      </c>
      <c r="H436">
        <v>40.200000000000003</v>
      </c>
      <c r="I436">
        <v>38</v>
      </c>
    </row>
    <row r="437" spans="1:9">
      <c r="A437" s="6">
        <v>44835</v>
      </c>
      <c r="B437" t="s">
        <v>100</v>
      </c>
      <c r="C437" t="s">
        <v>101</v>
      </c>
      <c r="E437" t="s">
        <v>650</v>
      </c>
      <c r="F437">
        <v>0</v>
      </c>
      <c r="G437">
        <v>0</v>
      </c>
      <c r="H437">
        <v>3.6</v>
      </c>
      <c r="I437">
        <v>22</v>
      </c>
    </row>
    <row r="438" spans="1:9">
      <c r="A438" s="6">
        <v>44841</v>
      </c>
      <c r="B438" t="s">
        <v>100</v>
      </c>
      <c r="C438" t="s">
        <v>101</v>
      </c>
      <c r="E438" t="s">
        <v>651</v>
      </c>
      <c r="F438">
        <v>11.44</v>
      </c>
      <c r="G438">
        <v>1000</v>
      </c>
      <c r="H438">
        <v>0.3</v>
      </c>
      <c r="I438">
        <v>71</v>
      </c>
    </row>
    <row r="439" spans="1:9">
      <c r="A439" s="6">
        <v>44842</v>
      </c>
      <c r="B439" t="s">
        <v>100</v>
      </c>
      <c r="C439" t="s">
        <v>101</v>
      </c>
      <c r="E439" t="s">
        <v>652</v>
      </c>
      <c r="F439">
        <v>25.32</v>
      </c>
      <c r="G439">
        <v>2200</v>
      </c>
      <c r="H439">
        <v>296</v>
      </c>
      <c r="I439">
        <v>305</v>
      </c>
    </row>
    <row r="440" spans="1:9">
      <c r="A440" s="6">
        <v>44844</v>
      </c>
      <c r="B440" t="s">
        <v>100</v>
      </c>
      <c r="C440" t="s">
        <v>101</v>
      </c>
      <c r="E440" t="s">
        <v>653</v>
      </c>
      <c r="F440">
        <v>0</v>
      </c>
      <c r="G440">
        <v>0</v>
      </c>
      <c r="H440">
        <v>0</v>
      </c>
      <c r="I440">
        <v>26</v>
      </c>
    </row>
    <row r="441" spans="1:9">
      <c r="A441" s="6">
        <v>44846</v>
      </c>
      <c r="B441" t="s">
        <v>100</v>
      </c>
      <c r="C441" t="s">
        <v>101</v>
      </c>
      <c r="F441">
        <v>0</v>
      </c>
      <c r="G441">
        <v>0</v>
      </c>
      <c r="H441">
        <v>0</v>
      </c>
      <c r="I441">
        <v>0</v>
      </c>
    </row>
    <row r="442" spans="1:9">
      <c r="A442" s="6">
        <v>44835</v>
      </c>
      <c r="B442" t="s">
        <v>654</v>
      </c>
      <c r="C442" t="s">
        <v>655</v>
      </c>
      <c r="E442" t="s">
        <v>656</v>
      </c>
      <c r="F442">
        <v>4.45</v>
      </c>
      <c r="G442">
        <v>500</v>
      </c>
      <c r="H442">
        <v>0</v>
      </c>
      <c r="I442">
        <v>43</v>
      </c>
    </row>
    <row r="443" spans="1:9">
      <c r="A443" s="6">
        <v>44837</v>
      </c>
      <c r="B443" t="s">
        <v>654</v>
      </c>
      <c r="C443" t="s">
        <v>655</v>
      </c>
      <c r="E443" t="s">
        <v>657</v>
      </c>
      <c r="F443">
        <v>0</v>
      </c>
      <c r="G443">
        <v>0</v>
      </c>
      <c r="H443">
        <v>0.2</v>
      </c>
      <c r="I443">
        <v>20</v>
      </c>
    </row>
    <row r="444" spans="1:9">
      <c r="A444" s="6">
        <v>44838</v>
      </c>
      <c r="B444" t="s">
        <v>654</v>
      </c>
      <c r="C444" t="s">
        <v>655</v>
      </c>
      <c r="E444" t="s">
        <v>658</v>
      </c>
      <c r="F444">
        <v>0</v>
      </c>
      <c r="G444">
        <v>0</v>
      </c>
      <c r="H444">
        <v>0</v>
      </c>
      <c r="I444">
        <v>25</v>
      </c>
    </row>
    <row r="445" spans="1:9">
      <c r="A445" s="6">
        <v>44840</v>
      </c>
      <c r="B445" t="s">
        <v>654</v>
      </c>
      <c r="C445" t="s">
        <v>655</v>
      </c>
      <c r="E445" t="s">
        <v>659</v>
      </c>
      <c r="F445">
        <v>4.46</v>
      </c>
      <c r="G445">
        <v>500</v>
      </c>
      <c r="H445">
        <v>229.1</v>
      </c>
      <c r="I445">
        <v>121</v>
      </c>
    </row>
    <row r="446" spans="1:9">
      <c r="A446" s="6">
        <v>44841</v>
      </c>
      <c r="B446" t="s">
        <v>654</v>
      </c>
      <c r="C446" t="s">
        <v>655</v>
      </c>
      <c r="E446" t="s">
        <v>660</v>
      </c>
      <c r="F446">
        <v>0</v>
      </c>
      <c r="G446">
        <v>0</v>
      </c>
      <c r="H446">
        <v>64</v>
      </c>
      <c r="I446">
        <v>89</v>
      </c>
    </row>
    <row r="447" spans="1:9">
      <c r="A447" s="6">
        <v>44842</v>
      </c>
      <c r="B447" t="s">
        <v>654</v>
      </c>
      <c r="C447" t="s">
        <v>655</v>
      </c>
      <c r="E447" t="s">
        <v>661</v>
      </c>
      <c r="F447">
        <v>4.42</v>
      </c>
      <c r="G447">
        <v>500</v>
      </c>
      <c r="H447">
        <v>0</v>
      </c>
      <c r="I447">
        <v>115</v>
      </c>
    </row>
    <row r="448" spans="1:9">
      <c r="A448" s="6">
        <v>44843</v>
      </c>
      <c r="B448" t="s">
        <v>654</v>
      </c>
      <c r="C448" t="s">
        <v>655</v>
      </c>
      <c r="E448" t="s">
        <v>662</v>
      </c>
      <c r="F448">
        <v>0</v>
      </c>
      <c r="G448">
        <v>0</v>
      </c>
      <c r="H448">
        <v>0</v>
      </c>
      <c r="I448">
        <v>16</v>
      </c>
    </row>
    <row r="449" spans="1:9">
      <c r="A449" s="6">
        <v>44844</v>
      </c>
      <c r="B449" t="s">
        <v>654</v>
      </c>
      <c r="C449" t="s">
        <v>655</v>
      </c>
      <c r="E449" t="s">
        <v>663</v>
      </c>
      <c r="F449">
        <v>0</v>
      </c>
      <c r="G449">
        <v>0</v>
      </c>
      <c r="H449">
        <v>0</v>
      </c>
      <c r="I449">
        <v>18</v>
      </c>
    </row>
    <row r="450" spans="1:9">
      <c r="A450" s="6">
        <v>44845</v>
      </c>
      <c r="B450" t="s">
        <v>654</v>
      </c>
      <c r="C450" t="s">
        <v>655</v>
      </c>
      <c r="E450" t="s">
        <v>664</v>
      </c>
      <c r="F450">
        <v>4.46</v>
      </c>
      <c r="G450">
        <v>500</v>
      </c>
      <c r="H450">
        <v>68</v>
      </c>
      <c r="I450">
        <v>68</v>
      </c>
    </row>
    <row r="451" spans="1:9">
      <c r="A451" s="6">
        <v>44846</v>
      </c>
      <c r="B451" t="s">
        <v>654</v>
      </c>
      <c r="C451" t="s">
        <v>655</v>
      </c>
      <c r="E451" t="s">
        <v>665</v>
      </c>
      <c r="F451">
        <v>0</v>
      </c>
      <c r="G451">
        <v>0</v>
      </c>
      <c r="H451">
        <v>67.8</v>
      </c>
      <c r="I451">
        <v>83</v>
      </c>
    </row>
    <row r="452" spans="1:9">
      <c r="A452" s="6">
        <v>44847</v>
      </c>
      <c r="B452" t="s">
        <v>654</v>
      </c>
      <c r="C452" t="s">
        <v>655</v>
      </c>
      <c r="E452" t="s">
        <v>666</v>
      </c>
      <c r="F452">
        <v>0</v>
      </c>
      <c r="G452">
        <v>0</v>
      </c>
      <c r="H452">
        <v>0.3</v>
      </c>
      <c r="I452">
        <v>115</v>
      </c>
    </row>
    <row r="453" spans="1:9">
      <c r="A453" s="6">
        <v>44848</v>
      </c>
      <c r="B453" t="s">
        <v>654</v>
      </c>
      <c r="C453" t="s">
        <v>655</v>
      </c>
      <c r="E453" t="s">
        <v>667</v>
      </c>
      <c r="F453">
        <v>2.2200000000000002</v>
      </c>
      <c r="G453">
        <v>250</v>
      </c>
      <c r="H453">
        <v>0.4</v>
      </c>
      <c r="I453">
        <v>49</v>
      </c>
    </row>
    <row r="454" spans="1:9">
      <c r="A454" s="6">
        <v>44849</v>
      </c>
      <c r="B454" t="s">
        <v>654</v>
      </c>
      <c r="C454" t="s">
        <v>655</v>
      </c>
      <c r="E454" t="s">
        <v>668</v>
      </c>
      <c r="F454">
        <v>0</v>
      </c>
      <c r="G454">
        <v>0</v>
      </c>
      <c r="H454">
        <v>68.099999999999994</v>
      </c>
      <c r="I454">
        <v>85</v>
      </c>
    </row>
    <row r="455" spans="1:9">
      <c r="A455" s="6">
        <v>44835</v>
      </c>
      <c r="B455" t="s">
        <v>21</v>
      </c>
      <c r="C455" t="s">
        <v>22</v>
      </c>
      <c r="E455" t="s">
        <v>669</v>
      </c>
      <c r="F455">
        <v>0</v>
      </c>
      <c r="G455">
        <v>0</v>
      </c>
      <c r="H455">
        <v>0.2</v>
      </c>
      <c r="I455">
        <v>50</v>
      </c>
    </row>
    <row r="456" spans="1:9">
      <c r="A456" s="6">
        <v>44836</v>
      </c>
      <c r="B456" t="s">
        <v>21</v>
      </c>
      <c r="C456" t="s">
        <v>22</v>
      </c>
      <c r="E456" t="s">
        <v>670</v>
      </c>
      <c r="F456">
        <v>0</v>
      </c>
      <c r="G456">
        <v>0</v>
      </c>
      <c r="H456">
        <v>0</v>
      </c>
      <c r="I456">
        <v>3</v>
      </c>
    </row>
    <row r="457" spans="1:9">
      <c r="A457" s="6">
        <v>44837</v>
      </c>
      <c r="B457" t="s">
        <v>21</v>
      </c>
      <c r="C457" t="s">
        <v>22</v>
      </c>
      <c r="E457" t="s">
        <v>671</v>
      </c>
      <c r="F457">
        <v>18.57</v>
      </c>
      <c r="G457">
        <v>2000</v>
      </c>
      <c r="H457">
        <v>0.3</v>
      </c>
      <c r="I457">
        <v>207</v>
      </c>
    </row>
    <row r="458" spans="1:9">
      <c r="A458" s="6">
        <v>44838</v>
      </c>
      <c r="B458" t="s">
        <v>21</v>
      </c>
      <c r="C458" t="s">
        <v>22</v>
      </c>
      <c r="E458" t="s">
        <v>672</v>
      </c>
      <c r="F458">
        <v>0</v>
      </c>
      <c r="G458">
        <v>0</v>
      </c>
      <c r="H458">
        <v>0.5</v>
      </c>
      <c r="I458">
        <v>159</v>
      </c>
    </row>
    <row r="459" spans="1:9">
      <c r="A459" s="6">
        <v>44839</v>
      </c>
      <c r="B459" t="s">
        <v>21</v>
      </c>
      <c r="C459" t="s">
        <v>22</v>
      </c>
      <c r="E459" t="s">
        <v>673</v>
      </c>
      <c r="F459">
        <v>0</v>
      </c>
      <c r="G459">
        <v>0</v>
      </c>
      <c r="H459">
        <v>0.5</v>
      </c>
      <c r="I459">
        <v>51</v>
      </c>
    </row>
    <row r="460" spans="1:9">
      <c r="A460" s="6">
        <v>44840</v>
      </c>
      <c r="B460" t="s">
        <v>21</v>
      </c>
      <c r="C460" t="s">
        <v>22</v>
      </c>
      <c r="E460" t="s">
        <v>674</v>
      </c>
      <c r="F460">
        <v>21.64</v>
      </c>
      <c r="G460">
        <v>2400</v>
      </c>
      <c r="H460">
        <v>0.3</v>
      </c>
      <c r="I460">
        <v>62</v>
      </c>
    </row>
    <row r="461" spans="1:9">
      <c r="A461" s="6">
        <v>44841</v>
      </c>
      <c r="B461" t="s">
        <v>21</v>
      </c>
      <c r="C461" t="s">
        <v>22</v>
      </c>
      <c r="E461" t="s">
        <v>675</v>
      </c>
      <c r="F461">
        <v>0</v>
      </c>
      <c r="G461">
        <v>0</v>
      </c>
      <c r="H461">
        <v>150.19999999999999</v>
      </c>
      <c r="I461">
        <v>187</v>
      </c>
    </row>
    <row r="462" spans="1:9">
      <c r="A462" s="6">
        <v>44842</v>
      </c>
      <c r="B462" t="s">
        <v>21</v>
      </c>
      <c r="C462" t="s">
        <v>22</v>
      </c>
      <c r="E462" t="s">
        <v>676</v>
      </c>
      <c r="F462">
        <v>23.55</v>
      </c>
      <c r="G462">
        <v>2500</v>
      </c>
      <c r="H462">
        <v>148.80000000000001</v>
      </c>
      <c r="I462">
        <v>205</v>
      </c>
    </row>
    <row r="463" spans="1:9">
      <c r="A463" s="6">
        <v>44844</v>
      </c>
      <c r="B463" t="s">
        <v>21</v>
      </c>
      <c r="C463" t="s">
        <v>22</v>
      </c>
      <c r="E463" t="s">
        <v>677</v>
      </c>
      <c r="F463">
        <v>0</v>
      </c>
      <c r="G463">
        <v>0</v>
      </c>
      <c r="H463">
        <v>0.8</v>
      </c>
      <c r="I463">
        <v>205</v>
      </c>
    </row>
    <row r="464" spans="1:9">
      <c r="A464" s="6">
        <v>44845</v>
      </c>
      <c r="B464" t="s">
        <v>21</v>
      </c>
      <c r="C464" t="s">
        <v>22</v>
      </c>
      <c r="E464" t="s">
        <v>678</v>
      </c>
      <c r="F464">
        <v>0</v>
      </c>
      <c r="G464">
        <v>0</v>
      </c>
      <c r="H464">
        <v>0.7</v>
      </c>
      <c r="I464">
        <v>60</v>
      </c>
    </row>
    <row r="465" spans="1:9">
      <c r="A465" s="6">
        <v>44846</v>
      </c>
      <c r="B465" t="s">
        <v>21</v>
      </c>
      <c r="C465" t="s">
        <v>22</v>
      </c>
      <c r="E465" t="s">
        <v>679</v>
      </c>
      <c r="F465">
        <v>27.84</v>
      </c>
      <c r="G465">
        <v>3000</v>
      </c>
      <c r="H465">
        <v>0</v>
      </c>
      <c r="I465">
        <v>17</v>
      </c>
    </row>
    <row r="466" spans="1:9">
      <c r="A466" s="6">
        <v>44847</v>
      </c>
      <c r="B466" t="s">
        <v>21</v>
      </c>
      <c r="C466" t="s">
        <v>22</v>
      </c>
      <c r="E466" t="s">
        <v>680</v>
      </c>
      <c r="F466">
        <v>0</v>
      </c>
      <c r="G466">
        <v>0</v>
      </c>
      <c r="H466">
        <v>439.7</v>
      </c>
      <c r="I466">
        <v>481</v>
      </c>
    </row>
    <row r="467" spans="1:9">
      <c r="A467" s="6">
        <v>44848</v>
      </c>
      <c r="B467" t="s">
        <v>21</v>
      </c>
      <c r="C467" t="s">
        <v>22</v>
      </c>
      <c r="E467" t="s">
        <v>681</v>
      </c>
      <c r="F467">
        <v>31.27</v>
      </c>
      <c r="G467">
        <v>3200</v>
      </c>
      <c r="H467">
        <v>0</v>
      </c>
      <c r="I467">
        <v>38</v>
      </c>
    </row>
    <row r="468" spans="1:9">
      <c r="A468" s="6">
        <v>44849</v>
      </c>
      <c r="B468" t="s">
        <v>21</v>
      </c>
      <c r="C468" t="s">
        <v>22</v>
      </c>
      <c r="E468" t="s">
        <v>682</v>
      </c>
      <c r="F468">
        <v>0</v>
      </c>
      <c r="G468">
        <v>0</v>
      </c>
      <c r="H468">
        <v>5.4</v>
      </c>
      <c r="I468">
        <v>56</v>
      </c>
    </row>
    <row r="469" spans="1:9">
      <c r="A469" s="6">
        <v>44835</v>
      </c>
      <c r="B469" t="s">
        <v>683</v>
      </c>
      <c r="C469" t="s">
        <v>684</v>
      </c>
      <c r="D469" t="s">
        <v>685</v>
      </c>
      <c r="F469">
        <v>10.99</v>
      </c>
      <c r="G469">
        <v>1065</v>
      </c>
      <c r="H469">
        <v>71.5</v>
      </c>
      <c r="I469">
        <v>112</v>
      </c>
    </row>
    <row r="470" spans="1:9">
      <c r="A470" s="6">
        <v>44836</v>
      </c>
      <c r="B470" t="s">
        <v>683</v>
      </c>
      <c r="C470" t="s">
        <v>684</v>
      </c>
      <c r="D470" t="s">
        <v>686</v>
      </c>
      <c r="F470">
        <v>0</v>
      </c>
      <c r="G470">
        <v>0</v>
      </c>
      <c r="H470">
        <v>119.5</v>
      </c>
      <c r="I470">
        <v>77</v>
      </c>
    </row>
    <row r="471" spans="1:9">
      <c r="A471" s="6">
        <v>44837</v>
      </c>
      <c r="B471" t="s">
        <v>683</v>
      </c>
      <c r="C471" t="s">
        <v>684</v>
      </c>
      <c r="D471" t="s">
        <v>687</v>
      </c>
      <c r="F471">
        <v>0</v>
      </c>
      <c r="G471">
        <v>0</v>
      </c>
      <c r="H471">
        <v>147.30000000000001</v>
      </c>
      <c r="I471">
        <v>134</v>
      </c>
    </row>
    <row r="472" spans="1:9">
      <c r="A472" s="6">
        <v>44839</v>
      </c>
      <c r="B472" t="s">
        <v>683</v>
      </c>
      <c r="C472" t="s">
        <v>684</v>
      </c>
      <c r="D472" t="s">
        <v>688</v>
      </c>
      <c r="F472">
        <v>10.34</v>
      </c>
      <c r="G472">
        <v>1067.3900000000001</v>
      </c>
      <c r="H472">
        <v>81.7</v>
      </c>
      <c r="I472">
        <v>79</v>
      </c>
    </row>
    <row r="473" spans="1:9">
      <c r="A473" s="6">
        <v>44840</v>
      </c>
      <c r="B473" t="s">
        <v>683</v>
      </c>
      <c r="C473" t="s">
        <v>684</v>
      </c>
      <c r="D473" t="s">
        <v>689</v>
      </c>
      <c r="F473">
        <v>0</v>
      </c>
      <c r="G473">
        <v>0</v>
      </c>
      <c r="H473">
        <v>79.5</v>
      </c>
      <c r="I473">
        <v>72</v>
      </c>
    </row>
    <row r="474" spans="1:9">
      <c r="A474" s="6">
        <v>44842</v>
      </c>
      <c r="B474" t="s">
        <v>683</v>
      </c>
      <c r="C474" t="s">
        <v>684</v>
      </c>
      <c r="D474" t="s">
        <v>690</v>
      </c>
      <c r="F474">
        <v>0</v>
      </c>
      <c r="G474">
        <v>0</v>
      </c>
      <c r="H474">
        <v>53.4</v>
      </c>
      <c r="I474">
        <v>26</v>
      </c>
    </row>
    <row r="475" spans="1:9">
      <c r="A475" s="6">
        <v>44843</v>
      </c>
      <c r="B475" t="s">
        <v>683</v>
      </c>
      <c r="C475" t="s">
        <v>684</v>
      </c>
      <c r="D475" t="s">
        <v>691</v>
      </c>
      <c r="F475">
        <v>0</v>
      </c>
      <c r="G475">
        <v>0</v>
      </c>
      <c r="H475">
        <v>0.9</v>
      </c>
      <c r="I475">
        <v>2</v>
      </c>
    </row>
    <row r="476" spans="1:9">
      <c r="A476" s="6">
        <v>44844</v>
      </c>
      <c r="B476" t="s">
        <v>683</v>
      </c>
      <c r="C476" t="s">
        <v>684</v>
      </c>
      <c r="D476" t="s">
        <v>692</v>
      </c>
      <c r="F476">
        <v>0</v>
      </c>
      <c r="G476">
        <v>0</v>
      </c>
      <c r="H476">
        <v>104.6</v>
      </c>
      <c r="I476">
        <v>8</v>
      </c>
    </row>
    <row r="477" spans="1:9">
      <c r="A477" s="6">
        <v>44846</v>
      </c>
      <c r="B477" t="s">
        <v>683</v>
      </c>
      <c r="C477" t="s">
        <v>684</v>
      </c>
      <c r="F477">
        <v>0</v>
      </c>
      <c r="G477">
        <v>0</v>
      </c>
      <c r="H477">
        <v>197.1</v>
      </c>
      <c r="I477">
        <v>0</v>
      </c>
    </row>
    <row r="478" spans="1:9">
      <c r="A478" s="6">
        <v>44847</v>
      </c>
      <c r="B478" t="s">
        <v>683</v>
      </c>
      <c r="C478" t="s">
        <v>684</v>
      </c>
      <c r="D478" t="s">
        <v>693</v>
      </c>
      <c r="F478">
        <v>0</v>
      </c>
      <c r="G478">
        <v>0</v>
      </c>
      <c r="H478">
        <v>236.9</v>
      </c>
      <c r="I478">
        <v>205</v>
      </c>
    </row>
    <row r="479" spans="1:9">
      <c r="A479" s="6">
        <v>44848</v>
      </c>
      <c r="B479" t="s">
        <v>683</v>
      </c>
      <c r="C479" t="s">
        <v>684</v>
      </c>
      <c r="D479" t="s">
        <v>694</v>
      </c>
      <c r="F479">
        <v>10.68</v>
      </c>
      <c r="G479">
        <v>1029</v>
      </c>
      <c r="H479">
        <v>227.9</v>
      </c>
      <c r="I479">
        <v>181</v>
      </c>
    </row>
    <row r="480" spans="1:9">
      <c r="A480" s="6">
        <v>44849</v>
      </c>
      <c r="B480" t="s">
        <v>683</v>
      </c>
      <c r="C480" t="s">
        <v>684</v>
      </c>
      <c r="D480" t="s">
        <v>695</v>
      </c>
      <c r="F480">
        <v>0</v>
      </c>
      <c r="G480">
        <v>0</v>
      </c>
      <c r="H480">
        <v>77.400000000000006</v>
      </c>
      <c r="I480">
        <v>76</v>
      </c>
    </row>
    <row r="481" spans="1:9">
      <c r="A481" s="6">
        <v>44835</v>
      </c>
      <c r="B481" t="s">
        <v>696</v>
      </c>
      <c r="C481" t="s">
        <v>697</v>
      </c>
      <c r="E481" t="s">
        <v>698</v>
      </c>
      <c r="F481">
        <v>0</v>
      </c>
      <c r="G481">
        <v>0</v>
      </c>
      <c r="H481">
        <v>66.900000000000006</v>
      </c>
      <c r="I481">
        <v>80</v>
      </c>
    </row>
    <row r="482" spans="1:9">
      <c r="A482" s="6">
        <v>44837</v>
      </c>
      <c r="B482" t="s">
        <v>696</v>
      </c>
      <c r="C482" t="s">
        <v>697</v>
      </c>
      <c r="E482" t="s">
        <v>699</v>
      </c>
      <c r="F482">
        <v>103</v>
      </c>
      <c r="G482">
        <v>700</v>
      </c>
      <c r="H482">
        <v>55.3</v>
      </c>
      <c r="I482">
        <v>74</v>
      </c>
    </row>
    <row r="483" spans="1:9">
      <c r="A483" s="6">
        <v>44838</v>
      </c>
      <c r="B483" t="s">
        <v>696</v>
      </c>
      <c r="C483" t="s">
        <v>697</v>
      </c>
      <c r="E483" t="s">
        <v>700</v>
      </c>
      <c r="F483">
        <v>0</v>
      </c>
      <c r="G483">
        <v>0</v>
      </c>
      <c r="H483">
        <v>73.599999999999994</v>
      </c>
      <c r="I483">
        <v>85</v>
      </c>
    </row>
    <row r="484" spans="1:9">
      <c r="A484" s="6">
        <v>44840</v>
      </c>
      <c r="B484" t="s">
        <v>696</v>
      </c>
      <c r="C484" t="s">
        <v>697</v>
      </c>
      <c r="E484" t="s">
        <v>701</v>
      </c>
      <c r="F484">
        <v>0</v>
      </c>
      <c r="G484">
        <v>0</v>
      </c>
      <c r="H484">
        <v>91.1</v>
      </c>
      <c r="I484">
        <v>99</v>
      </c>
    </row>
    <row r="485" spans="1:9">
      <c r="A485" s="6">
        <v>44841</v>
      </c>
      <c r="B485" t="s">
        <v>696</v>
      </c>
      <c r="C485" t="s">
        <v>697</v>
      </c>
      <c r="E485" t="s">
        <v>702</v>
      </c>
      <c r="F485">
        <v>103</v>
      </c>
      <c r="G485">
        <v>400</v>
      </c>
      <c r="H485">
        <v>77.8</v>
      </c>
      <c r="I485">
        <v>89</v>
      </c>
    </row>
    <row r="486" spans="1:9">
      <c r="A486" s="6">
        <v>44842</v>
      </c>
      <c r="B486" t="s">
        <v>696</v>
      </c>
      <c r="C486" t="s">
        <v>697</v>
      </c>
      <c r="E486" t="s">
        <v>703</v>
      </c>
      <c r="F486">
        <v>0</v>
      </c>
      <c r="G486">
        <v>0</v>
      </c>
      <c r="H486">
        <v>71.900000000000006</v>
      </c>
      <c r="I486">
        <v>41</v>
      </c>
    </row>
    <row r="487" spans="1:9">
      <c r="A487" s="6">
        <v>44835</v>
      </c>
      <c r="B487" t="s">
        <v>27</v>
      </c>
      <c r="C487" t="s">
        <v>28</v>
      </c>
      <c r="E487" t="s">
        <v>704</v>
      </c>
      <c r="F487">
        <v>0</v>
      </c>
      <c r="G487">
        <v>0</v>
      </c>
      <c r="H487">
        <v>22</v>
      </c>
      <c r="I487">
        <v>22</v>
      </c>
    </row>
    <row r="488" spans="1:9">
      <c r="A488" s="6">
        <v>44837</v>
      </c>
      <c r="B488" t="s">
        <v>27</v>
      </c>
      <c r="C488" t="s">
        <v>28</v>
      </c>
      <c r="F488">
        <v>0</v>
      </c>
      <c r="G488">
        <v>0</v>
      </c>
      <c r="H488">
        <v>0</v>
      </c>
      <c r="I488">
        <v>0</v>
      </c>
    </row>
    <row r="489" spans="1:9">
      <c r="A489" s="6">
        <v>44840</v>
      </c>
      <c r="B489" t="s">
        <v>27</v>
      </c>
      <c r="C489" t="s">
        <v>28</v>
      </c>
      <c r="E489" t="s">
        <v>705</v>
      </c>
      <c r="F489">
        <v>0</v>
      </c>
      <c r="G489">
        <v>0</v>
      </c>
      <c r="H489">
        <v>62.7</v>
      </c>
      <c r="I489">
        <v>59</v>
      </c>
    </row>
    <row r="490" spans="1:9">
      <c r="A490" s="6">
        <v>44841</v>
      </c>
      <c r="B490" t="s">
        <v>27</v>
      </c>
      <c r="C490" t="s">
        <v>28</v>
      </c>
      <c r="E490" t="s">
        <v>706</v>
      </c>
      <c r="F490">
        <v>18.23</v>
      </c>
      <c r="G490">
        <v>1700</v>
      </c>
      <c r="H490">
        <v>15</v>
      </c>
      <c r="I490">
        <v>69</v>
      </c>
    </row>
    <row r="491" spans="1:9">
      <c r="A491" s="6">
        <v>44842</v>
      </c>
      <c r="B491" t="s">
        <v>27</v>
      </c>
      <c r="C491" t="s">
        <v>28</v>
      </c>
      <c r="E491" t="s">
        <v>707</v>
      </c>
      <c r="F491">
        <v>0</v>
      </c>
      <c r="G491">
        <v>0</v>
      </c>
      <c r="H491">
        <v>89.8</v>
      </c>
      <c r="I491">
        <v>22</v>
      </c>
    </row>
    <row r="492" spans="1:9">
      <c r="A492" s="6">
        <v>44843</v>
      </c>
      <c r="B492" t="s">
        <v>27</v>
      </c>
      <c r="C492" t="s">
        <v>28</v>
      </c>
      <c r="E492" t="s">
        <v>708</v>
      </c>
      <c r="F492">
        <v>0</v>
      </c>
      <c r="G492">
        <v>0</v>
      </c>
      <c r="H492">
        <v>35.200000000000003</v>
      </c>
      <c r="I492">
        <v>36</v>
      </c>
    </row>
    <row r="493" spans="1:9">
      <c r="A493" s="6">
        <v>44844</v>
      </c>
      <c r="B493" t="s">
        <v>27</v>
      </c>
      <c r="C493" t="s">
        <v>28</v>
      </c>
      <c r="E493" t="s">
        <v>709</v>
      </c>
      <c r="F493">
        <v>0</v>
      </c>
      <c r="G493">
        <v>0</v>
      </c>
      <c r="H493">
        <v>117.8</v>
      </c>
      <c r="I493">
        <v>126</v>
      </c>
    </row>
    <row r="494" spans="1:9">
      <c r="A494" s="6">
        <v>44845</v>
      </c>
      <c r="B494" t="s">
        <v>27</v>
      </c>
      <c r="C494" t="s">
        <v>28</v>
      </c>
      <c r="E494" t="s">
        <v>710</v>
      </c>
      <c r="F494">
        <v>20.38</v>
      </c>
      <c r="G494">
        <v>1900</v>
      </c>
      <c r="H494">
        <v>237.9</v>
      </c>
      <c r="I494">
        <v>295</v>
      </c>
    </row>
    <row r="495" spans="1:9">
      <c r="A495" s="6">
        <v>44846</v>
      </c>
      <c r="B495" t="s">
        <v>27</v>
      </c>
      <c r="C495" t="s">
        <v>28</v>
      </c>
      <c r="E495" t="s">
        <v>711</v>
      </c>
      <c r="F495">
        <v>0</v>
      </c>
      <c r="G495">
        <v>0</v>
      </c>
      <c r="H495">
        <v>19.5</v>
      </c>
      <c r="I495">
        <v>49</v>
      </c>
    </row>
    <row r="496" spans="1:9">
      <c r="A496" s="6">
        <v>44847</v>
      </c>
      <c r="B496" t="s">
        <v>27</v>
      </c>
      <c r="C496" t="s">
        <v>28</v>
      </c>
      <c r="E496" t="s">
        <v>712</v>
      </c>
      <c r="F496">
        <v>0</v>
      </c>
      <c r="G496">
        <v>0</v>
      </c>
      <c r="H496">
        <v>112.3</v>
      </c>
      <c r="I496">
        <v>66</v>
      </c>
    </row>
    <row r="497" spans="1:9">
      <c r="A497" s="6">
        <v>44848</v>
      </c>
      <c r="B497" t="s">
        <v>27</v>
      </c>
      <c r="C497" t="s">
        <v>28</v>
      </c>
      <c r="E497" t="s">
        <v>713</v>
      </c>
      <c r="F497">
        <v>0</v>
      </c>
      <c r="G497">
        <v>0</v>
      </c>
      <c r="H497">
        <v>12.9</v>
      </c>
      <c r="I497">
        <v>38</v>
      </c>
    </row>
    <row r="498" spans="1:9">
      <c r="A498" s="6">
        <v>44849</v>
      </c>
      <c r="B498" t="s">
        <v>27</v>
      </c>
      <c r="C498" t="s">
        <v>28</v>
      </c>
      <c r="E498" t="s">
        <v>714</v>
      </c>
      <c r="F498">
        <v>0</v>
      </c>
      <c r="G498">
        <v>0</v>
      </c>
      <c r="H498">
        <v>93.1</v>
      </c>
      <c r="I498">
        <v>28</v>
      </c>
    </row>
    <row r="499" spans="1:9">
      <c r="A499" s="6">
        <v>44835</v>
      </c>
      <c r="B499" t="s">
        <v>90</v>
      </c>
      <c r="C499" t="s">
        <v>91</v>
      </c>
      <c r="E499" t="s">
        <v>715</v>
      </c>
      <c r="F499">
        <v>0</v>
      </c>
      <c r="G499">
        <v>0</v>
      </c>
      <c r="H499">
        <v>15</v>
      </c>
      <c r="I499">
        <v>73</v>
      </c>
    </row>
    <row r="500" spans="1:9">
      <c r="A500" s="6">
        <v>44837</v>
      </c>
      <c r="B500" t="s">
        <v>90</v>
      </c>
      <c r="C500" t="s">
        <v>91</v>
      </c>
      <c r="E500" t="s">
        <v>716</v>
      </c>
      <c r="F500">
        <v>0</v>
      </c>
      <c r="G500">
        <v>0</v>
      </c>
      <c r="H500">
        <v>19.2</v>
      </c>
      <c r="I500">
        <v>41</v>
      </c>
    </row>
    <row r="501" spans="1:9">
      <c r="A501" s="6">
        <v>44838</v>
      </c>
      <c r="B501" t="s">
        <v>90</v>
      </c>
      <c r="C501" t="s">
        <v>91</v>
      </c>
      <c r="E501" t="s">
        <v>717</v>
      </c>
      <c r="F501">
        <v>0</v>
      </c>
      <c r="G501">
        <v>0</v>
      </c>
      <c r="H501">
        <v>15.8</v>
      </c>
      <c r="I501">
        <v>35</v>
      </c>
    </row>
    <row r="502" spans="1:9">
      <c r="A502" s="6">
        <v>44839</v>
      </c>
      <c r="B502" t="s">
        <v>90</v>
      </c>
      <c r="C502" t="s">
        <v>91</v>
      </c>
      <c r="F502">
        <v>0</v>
      </c>
      <c r="G502">
        <v>0</v>
      </c>
      <c r="H502">
        <v>0.4</v>
      </c>
      <c r="I502">
        <v>0</v>
      </c>
    </row>
    <row r="503" spans="1:9">
      <c r="A503" s="6">
        <v>44840</v>
      </c>
      <c r="B503" t="s">
        <v>90</v>
      </c>
      <c r="C503" t="s">
        <v>91</v>
      </c>
      <c r="E503" t="s">
        <v>718</v>
      </c>
      <c r="F503">
        <v>0</v>
      </c>
      <c r="G503">
        <v>0</v>
      </c>
      <c r="H503">
        <v>38.799999999999997</v>
      </c>
      <c r="I503">
        <v>48</v>
      </c>
    </row>
    <row r="504" spans="1:9">
      <c r="A504" s="6">
        <v>44841</v>
      </c>
      <c r="B504" t="s">
        <v>90</v>
      </c>
      <c r="C504" t="s">
        <v>91</v>
      </c>
      <c r="F504">
        <v>0</v>
      </c>
      <c r="G504">
        <v>0</v>
      </c>
      <c r="H504">
        <v>38</v>
      </c>
      <c r="I504">
        <v>0</v>
      </c>
    </row>
    <row r="505" spans="1:9">
      <c r="A505" s="6">
        <v>44842</v>
      </c>
      <c r="B505" t="s">
        <v>90</v>
      </c>
      <c r="C505" t="s">
        <v>91</v>
      </c>
      <c r="F505">
        <v>0</v>
      </c>
      <c r="G505">
        <v>0</v>
      </c>
      <c r="H505">
        <v>10.9</v>
      </c>
      <c r="I505">
        <v>0</v>
      </c>
    </row>
    <row r="506" spans="1:9">
      <c r="A506" s="6">
        <v>44844</v>
      </c>
      <c r="B506" t="s">
        <v>90</v>
      </c>
      <c r="C506" t="s">
        <v>91</v>
      </c>
      <c r="F506">
        <v>0</v>
      </c>
      <c r="G506">
        <v>0</v>
      </c>
      <c r="H506">
        <v>46.6</v>
      </c>
      <c r="I506">
        <v>0</v>
      </c>
    </row>
    <row r="507" spans="1:9">
      <c r="A507" s="6">
        <v>44845</v>
      </c>
      <c r="B507" t="s">
        <v>90</v>
      </c>
      <c r="C507" t="s">
        <v>91</v>
      </c>
      <c r="F507">
        <v>0</v>
      </c>
      <c r="G507">
        <v>0</v>
      </c>
      <c r="H507">
        <v>0.5</v>
      </c>
      <c r="I507">
        <v>0</v>
      </c>
    </row>
    <row r="508" spans="1:9">
      <c r="A508" s="6">
        <v>44846</v>
      </c>
      <c r="B508" t="s">
        <v>90</v>
      </c>
      <c r="C508" t="s">
        <v>91</v>
      </c>
      <c r="F508">
        <v>0</v>
      </c>
      <c r="G508">
        <v>0</v>
      </c>
      <c r="H508">
        <v>15.8</v>
      </c>
      <c r="I508">
        <v>0</v>
      </c>
    </row>
    <row r="509" spans="1:9">
      <c r="A509" s="6">
        <v>44847</v>
      </c>
      <c r="B509" t="s">
        <v>90</v>
      </c>
      <c r="C509" t="s">
        <v>91</v>
      </c>
      <c r="E509" t="s">
        <v>719</v>
      </c>
      <c r="F509">
        <v>0</v>
      </c>
      <c r="G509">
        <v>0</v>
      </c>
      <c r="H509">
        <v>24.8</v>
      </c>
      <c r="I509">
        <v>53</v>
      </c>
    </row>
    <row r="510" spans="1:9">
      <c r="A510" s="6">
        <v>44848</v>
      </c>
      <c r="B510" t="s">
        <v>90</v>
      </c>
      <c r="C510" t="s">
        <v>91</v>
      </c>
      <c r="E510" t="s">
        <v>720</v>
      </c>
      <c r="F510">
        <v>0</v>
      </c>
      <c r="G510">
        <v>0</v>
      </c>
      <c r="H510">
        <v>14.6</v>
      </c>
      <c r="I510">
        <v>53</v>
      </c>
    </row>
    <row r="511" spans="1:9">
      <c r="A511" s="6">
        <v>44835</v>
      </c>
      <c r="B511" t="s">
        <v>33</v>
      </c>
      <c r="C511" t="s">
        <v>34</v>
      </c>
      <c r="E511" t="s">
        <v>721</v>
      </c>
      <c r="F511">
        <v>0</v>
      </c>
      <c r="G511">
        <v>0</v>
      </c>
      <c r="H511">
        <v>0</v>
      </c>
      <c r="I511">
        <v>4</v>
      </c>
    </row>
    <row r="512" spans="1:9">
      <c r="A512" s="6">
        <v>44837</v>
      </c>
      <c r="B512" t="s">
        <v>33</v>
      </c>
      <c r="C512" t="s">
        <v>34</v>
      </c>
      <c r="E512" t="s">
        <v>722</v>
      </c>
      <c r="F512">
        <v>0</v>
      </c>
      <c r="G512">
        <v>0</v>
      </c>
      <c r="H512">
        <v>51.6</v>
      </c>
      <c r="I512">
        <v>99</v>
      </c>
    </row>
    <row r="513" spans="1:9">
      <c r="A513" s="6">
        <v>44838</v>
      </c>
      <c r="B513" t="s">
        <v>33</v>
      </c>
      <c r="C513" t="s">
        <v>34</v>
      </c>
      <c r="E513" t="s">
        <v>723</v>
      </c>
      <c r="F513">
        <v>34.14</v>
      </c>
      <c r="G513">
        <v>3000</v>
      </c>
      <c r="H513">
        <v>0</v>
      </c>
      <c r="I513">
        <v>19</v>
      </c>
    </row>
    <row r="514" spans="1:9">
      <c r="A514" s="6">
        <v>44840</v>
      </c>
      <c r="B514" t="s">
        <v>33</v>
      </c>
      <c r="C514" t="s">
        <v>34</v>
      </c>
      <c r="E514" t="s">
        <v>724</v>
      </c>
      <c r="F514">
        <v>0</v>
      </c>
      <c r="G514">
        <v>0</v>
      </c>
      <c r="H514">
        <v>275.2</v>
      </c>
      <c r="I514">
        <v>284</v>
      </c>
    </row>
    <row r="515" spans="1:9">
      <c r="A515" s="6">
        <v>44841</v>
      </c>
      <c r="B515" t="s">
        <v>33</v>
      </c>
      <c r="C515" t="s">
        <v>34</v>
      </c>
      <c r="E515" t="s">
        <v>725</v>
      </c>
      <c r="F515">
        <v>9.0500000000000007</v>
      </c>
      <c r="G515">
        <v>800</v>
      </c>
      <c r="H515">
        <v>254.8</v>
      </c>
      <c r="I515">
        <v>263</v>
      </c>
    </row>
    <row r="516" spans="1:9">
      <c r="A516" s="6">
        <v>44842</v>
      </c>
      <c r="B516" t="s">
        <v>33</v>
      </c>
      <c r="C516" t="s">
        <v>34</v>
      </c>
      <c r="F516">
        <v>0</v>
      </c>
      <c r="G516">
        <v>0</v>
      </c>
      <c r="H516">
        <v>0</v>
      </c>
      <c r="I516">
        <v>0</v>
      </c>
    </row>
    <row r="517" spans="1:9">
      <c r="A517" s="6">
        <v>44844</v>
      </c>
      <c r="B517" t="s">
        <v>33</v>
      </c>
      <c r="C517" t="s">
        <v>34</v>
      </c>
      <c r="F517">
        <v>0</v>
      </c>
      <c r="G517">
        <v>0</v>
      </c>
      <c r="H517">
        <v>0.2</v>
      </c>
      <c r="I517">
        <v>0</v>
      </c>
    </row>
    <row r="518" spans="1:9">
      <c r="A518" s="6">
        <v>44845</v>
      </c>
      <c r="B518" t="s">
        <v>33</v>
      </c>
      <c r="C518" t="s">
        <v>34</v>
      </c>
      <c r="F518">
        <v>127032</v>
      </c>
      <c r="G518">
        <v>0</v>
      </c>
      <c r="H518">
        <v>0</v>
      </c>
      <c r="I518">
        <v>0</v>
      </c>
    </row>
    <row r="519" spans="1:9">
      <c r="A519" s="6">
        <v>44846</v>
      </c>
      <c r="B519" t="s">
        <v>33</v>
      </c>
      <c r="C519" t="s">
        <v>34</v>
      </c>
      <c r="E519" t="s">
        <v>726</v>
      </c>
      <c r="F519">
        <v>11.38</v>
      </c>
      <c r="G519">
        <v>1000</v>
      </c>
      <c r="H519">
        <v>52.8</v>
      </c>
      <c r="I519">
        <v>85</v>
      </c>
    </row>
    <row r="520" spans="1:9">
      <c r="A520" s="6">
        <v>44847</v>
      </c>
      <c r="B520" t="s">
        <v>33</v>
      </c>
      <c r="C520" t="s">
        <v>34</v>
      </c>
      <c r="F520">
        <v>0</v>
      </c>
      <c r="G520">
        <v>0</v>
      </c>
      <c r="H520">
        <v>0</v>
      </c>
      <c r="I520">
        <v>0</v>
      </c>
    </row>
    <row r="521" spans="1:9">
      <c r="A521" s="6">
        <v>44848</v>
      </c>
      <c r="B521" t="s">
        <v>33</v>
      </c>
      <c r="C521" t="s">
        <v>34</v>
      </c>
      <c r="E521" t="s">
        <v>727</v>
      </c>
      <c r="F521">
        <v>0</v>
      </c>
      <c r="G521">
        <v>0</v>
      </c>
      <c r="H521">
        <v>19</v>
      </c>
      <c r="I521">
        <v>24</v>
      </c>
    </row>
    <row r="522" spans="1:9">
      <c r="A522" s="6">
        <v>44849</v>
      </c>
      <c r="B522" t="s">
        <v>33</v>
      </c>
      <c r="C522" t="s">
        <v>34</v>
      </c>
      <c r="E522" t="s">
        <v>728</v>
      </c>
      <c r="F522">
        <v>0</v>
      </c>
      <c r="G522">
        <v>0</v>
      </c>
      <c r="H522">
        <v>2</v>
      </c>
      <c r="I522">
        <v>0</v>
      </c>
    </row>
    <row r="523" spans="1:9">
      <c r="A523" s="6">
        <v>44835</v>
      </c>
      <c r="B523" t="s">
        <v>729</v>
      </c>
      <c r="C523" t="s">
        <v>730</v>
      </c>
      <c r="E523" t="s">
        <v>731</v>
      </c>
      <c r="F523">
        <v>0</v>
      </c>
      <c r="G523">
        <v>0</v>
      </c>
      <c r="H523">
        <v>31.1</v>
      </c>
      <c r="I523">
        <v>52</v>
      </c>
    </row>
    <row r="524" spans="1:9">
      <c r="A524" s="6">
        <v>44837</v>
      </c>
      <c r="B524" t="s">
        <v>729</v>
      </c>
      <c r="C524" t="s">
        <v>730</v>
      </c>
      <c r="E524" t="s">
        <v>732</v>
      </c>
      <c r="F524">
        <v>30.93</v>
      </c>
      <c r="G524">
        <v>3051.86</v>
      </c>
      <c r="H524">
        <v>63.2</v>
      </c>
      <c r="I524">
        <v>181</v>
      </c>
    </row>
    <row r="525" spans="1:9">
      <c r="A525" s="6">
        <v>44838</v>
      </c>
      <c r="B525" t="s">
        <v>729</v>
      </c>
      <c r="C525" t="s">
        <v>730</v>
      </c>
      <c r="E525" t="s">
        <v>733</v>
      </c>
      <c r="F525">
        <v>28.81</v>
      </c>
      <c r="G525">
        <v>2830.29</v>
      </c>
      <c r="H525">
        <v>549.20000000000005</v>
      </c>
      <c r="I525">
        <v>573</v>
      </c>
    </row>
    <row r="526" spans="1:9">
      <c r="A526" s="6">
        <v>44839</v>
      </c>
      <c r="B526" t="s">
        <v>729</v>
      </c>
      <c r="C526" t="s">
        <v>730</v>
      </c>
      <c r="E526" t="s">
        <v>734</v>
      </c>
      <c r="F526">
        <v>0</v>
      </c>
      <c r="G526">
        <v>0</v>
      </c>
      <c r="H526">
        <v>29.7</v>
      </c>
      <c r="I526">
        <v>41</v>
      </c>
    </row>
    <row r="527" spans="1:9">
      <c r="A527" s="6">
        <v>44840</v>
      </c>
      <c r="B527" t="s">
        <v>729</v>
      </c>
      <c r="C527" t="s">
        <v>730</v>
      </c>
      <c r="E527" t="s">
        <v>735</v>
      </c>
      <c r="F527">
        <v>0</v>
      </c>
      <c r="G527">
        <v>0</v>
      </c>
      <c r="H527">
        <v>119.3</v>
      </c>
      <c r="I527">
        <v>136</v>
      </c>
    </row>
    <row r="528" spans="1:9">
      <c r="A528" s="6">
        <v>44841</v>
      </c>
      <c r="B528" t="s">
        <v>729</v>
      </c>
      <c r="C528" t="s">
        <v>730</v>
      </c>
      <c r="E528" t="s">
        <v>736</v>
      </c>
      <c r="F528">
        <v>0</v>
      </c>
      <c r="G528">
        <v>0</v>
      </c>
      <c r="H528">
        <v>30.8</v>
      </c>
      <c r="I528">
        <v>137</v>
      </c>
    </row>
    <row r="529" spans="1:9">
      <c r="A529" s="6">
        <v>44842</v>
      </c>
      <c r="B529" t="s">
        <v>729</v>
      </c>
      <c r="C529" t="s">
        <v>730</v>
      </c>
      <c r="E529" t="s">
        <v>737</v>
      </c>
      <c r="F529">
        <v>0</v>
      </c>
      <c r="G529">
        <v>0</v>
      </c>
      <c r="H529">
        <v>79.599999999999994</v>
      </c>
      <c r="I529">
        <v>149</v>
      </c>
    </row>
    <row r="530" spans="1:9">
      <c r="A530" s="6">
        <v>44843</v>
      </c>
      <c r="B530" t="s">
        <v>729</v>
      </c>
      <c r="C530" t="s">
        <v>730</v>
      </c>
      <c r="E530" t="s">
        <v>738</v>
      </c>
      <c r="F530">
        <v>31.98</v>
      </c>
      <c r="G530">
        <v>3155.46</v>
      </c>
      <c r="H530">
        <v>0.3</v>
      </c>
      <c r="I530">
        <v>159</v>
      </c>
    </row>
    <row r="531" spans="1:9">
      <c r="A531" s="6">
        <v>44844</v>
      </c>
      <c r="B531" t="s">
        <v>729</v>
      </c>
      <c r="C531" t="s">
        <v>730</v>
      </c>
      <c r="E531" t="s">
        <v>739</v>
      </c>
      <c r="F531">
        <v>0</v>
      </c>
      <c r="G531">
        <v>0</v>
      </c>
      <c r="H531">
        <v>29.3</v>
      </c>
      <c r="I531">
        <v>37</v>
      </c>
    </row>
    <row r="532" spans="1:9">
      <c r="A532" s="6">
        <v>44845</v>
      </c>
      <c r="B532" t="s">
        <v>729</v>
      </c>
      <c r="C532" t="s">
        <v>730</v>
      </c>
      <c r="E532" t="s">
        <v>740</v>
      </c>
      <c r="F532">
        <v>0</v>
      </c>
      <c r="G532">
        <v>0</v>
      </c>
      <c r="H532">
        <v>60.9</v>
      </c>
      <c r="I532">
        <v>132</v>
      </c>
    </row>
    <row r="533" spans="1:9">
      <c r="A533" s="6">
        <v>44846</v>
      </c>
      <c r="B533" t="s">
        <v>729</v>
      </c>
      <c r="C533" t="s">
        <v>730</v>
      </c>
      <c r="E533" t="s">
        <v>741</v>
      </c>
      <c r="F533">
        <v>0</v>
      </c>
      <c r="G533">
        <v>0</v>
      </c>
      <c r="H533">
        <v>69.2</v>
      </c>
      <c r="I533">
        <v>69</v>
      </c>
    </row>
    <row r="534" spans="1:9">
      <c r="A534" s="6">
        <v>44847</v>
      </c>
      <c r="B534" t="s">
        <v>729</v>
      </c>
      <c r="C534" t="s">
        <v>730</v>
      </c>
      <c r="E534" t="s">
        <v>742</v>
      </c>
      <c r="F534">
        <v>23.8</v>
      </c>
      <c r="G534">
        <v>2500</v>
      </c>
      <c r="H534">
        <v>175.2</v>
      </c>
      <c r="I534">
        <v>192</v>
      </c>
    </row>
    <row r="535" spans="1:9">
      <c r="A535" s="6">
        <v>44848</v>
      </c>
      <c r="B535" t="s">
        <v>729</v>
      </c>
      <c r="C535" t="s">
        <v>730</v>
      </c>
      <c r="E535" t="s">
        <v>743</v>
      </c>
      <c r="F535">
        <v>0</v>
      </c>
      <c r="G535">
        <v>0</v>
      </c>
      <c r="H535">
        <v>178.6</v>
      </c>
      <c r="I535">
        <v>225</v>
      </c>
    </row>
    <row r="536" spans="1:9">
      <c r="A536" s="6">
        <v>44849</v>
      </c>
      <c r="B536" t="s">
        <v>729</v>
      </c>
      <c r="C536" t="s">
        <v>730</v>
      </c>
      <c r="E536" t="s">
        <v>744</v>
      </c>
      <c r="F536">
        <v>0</v>
      </c>
      <c r="G536">
        <v>0</v>
      </c>
      <c r="H536">
        <v>29.8</v>
      </c>
      <c r="I536">
        <v>85</v>
      </c>
    </row>
    <row r="537" spans="1:9">
      <c r="A537" s="6">
        <v>44835</v>
      </c>
      <c r="B537" t="s">
        <v>92</v>
      </c>
      <c r="C537" t="s">
        <v>93</v>
      </c>
      <c r="E537" t="s">
        <v>745</v>
      </c>
      <c r="F537">
        <v>2.67</v>
      </c>
      <c r="G537">
        <v>300</v>
      </c>
      <c r="H537">
        <v>1.4</v>
      </c>
      <c r="I537">
        <v>4</v>
      </c>
    </row>
    <row r="538" spans="1:9">
      <c r="A538" s="6">
        <v>44837</v>
      </c>
      <c r="B538" t="s">
        <v>92</v>
      </c>
      <c r="C538" t="s">
        <v>93</v>
      </c>
      <c r="E538" t="s">
        <v>746</v>
      </c>
      <c r="F538">
        <v>8.94</v>
      </c>
      <c r="G538">
        <v>1000</v>
      </c>
      <c r="H538">
        <v>0</v>
      </c>
      <c r="I538">
        <v>55</v>
      </c>
    </row>
    <row r="539" spans="1:9">
      <c r="A539" s="6">
        <v>44838</v>
      </c>
      <c r="B539" t="s">
        <v>92</v>
      </c>
      <c r="C539" t="s">
        <v>93</v>
      </c>
      <c r="E539" t="s">
        <v>747</v>
      </c>
      <c r="F539">
        <v>0</v>
      </c>
      <c r="G539">
        <v>0</v>
      </c>
      <c r="H539">
        <v>1.2</v>
      </c>
      <c r="I539">
        <v>78</v>
      </c>
    </row>
    <row r="540" spans="1:9">
      <c r="A540" s="6">
        <v>44840</v>
      </c>
      <c r="B540" t="s">
        <v>92</v>
      </c>
      <c r="C540" t="s">
        <v>93</v>
      </c>
      <c r="E540" t="s">
        <v>748</v>
      </c>
      <c r="F540">
        <v>0</v>
      </c>
      <c r="G540">
        <v>0</v>
      </c>
      <c r="H540">
        <v>3.8</v>
      </c>
      <c r="I540">
        <v>9</v>
      </c>
    </row>
    <row r="541" spans="1:9">
      <c r="A541" s="6">
        <v>44841</v>
      </c>
      <c r="B541" t="s">
        <v>92</v>
      </c>
      <c r="C541" t="s">
        <v>93</v>
      </c>
      <c r="E541" t="s">
        <v>749</v>
      </c>
      <c r="F541">
        <v>0</v>
      </c>
      <c r="G541">
        <v>0</v>
      </c>
      <c r="H541">
        <v>0.8</v>
      </c>
      <c r="I541">
        <v>5</v>
      </c>
    </row>
    <row r="542" spans="1:9">
      <c r="A542" s="6">
        <v>44842</v>
      </c>
      <c r="B542" t="s">
        <v>92</v>
      </c>
      <c r="C542" t="s">
        <v>93</v>
      </c>
      <c r="E542" t="s">
        <v>750</v>
      </c>
      <c r="F542">
        <v>8.9600000000000009</v>
      </c>
      <c r="G542">
        <v>1000</v>
      </c>
      <c r="H542">
        <v>0.4</v>
      </c>
      <c r="I542">
        <v>61</v>
      </c>
    </row>
    <row r="543" spans="1:9">
      <c r="A543" s="6">
        <v>44844</v>
      </c>
      <c r="B543" t="s">
        <v>92</v>
      </c>
      <c r="C543" t="s">
        <v>93</v>
      </c>
      <c r="E543" t="s">
        <v>751</v>
      </c>
      <c r="F543">
        <v>0</v>
      </c>
      <c r="G543">
        <v>0</v>
      </c>
      <c r="H543">
        <v>1.1000000000000001</v>
      </c>
      <c r="I543">
        <v>65</v>
      </c>
    </row>
    <row r="544" spans="1:9">
      <c r="A544" s="6">
        <v>44845</v>
      </c>
      <c r="B544" t="s">
        <v>92</v>
      </c>
      <c r="C544" t="s">
        <v>93</v>
      </c>
      <c r="E544" t="s">
        <v>752</v>
      </c>
      <c r="F544">
        <v>0</v>
      </c>
      <c r="G544">
        <v>0</v>
      </c>
      <c r="H544">
        <v>0</v>
      </c>
      <c r="I544">
        <v>4</v>
      </c>
    </row>
    <row r="545" spans="1:9">
      <c r="A545" s="6">
        <v>44846</v>
      </c>
      <c r="B545" t="s">
        <v>92</v>
      </c>
      <c r="C545" t="s">
        <v>93</v>
      </c>
      <c r="E545" t="s">
        <v>753</v>
      </c>
      <c r="F545">
        <v>0</v>
      </c>
      <c r="G545">
        <v>0</v>
      </c>
      <c r="H545">
        <v>1.5</v>
      </c>
      <c r="I545">
        <v>7</v>
      </c>
    </row>
    <row r="546" spans="1:9">
      <c r="A546" s="6">
        <v>44847</v>
      </c>
      <c r="B546" t="s">
        <v>92</v>
      </c>
      <c r="C546" t="s">
        <v>93</v>
      </c>
      <c r="E546" t="s">
        <v>754</v>
      </c>
      <c r="F546">
        <v>0</v>
      </c>
      <c r="G546">
        <v>0</v>
      </c>
      <c r="H546">
        <v>1.5</v>
      </c>
      <c r="I546">
        <v>35</v>
      </c>
    </row>
    <row r="547" spans="1:9">
      <c r="A547" s="6">
        <v>44848</v>
      </c>
      <c r="B547" t="s">
        <v>92</v>
      </c>
      <c r="C547" t="s">
        <v>93</v>
      </c>
      <c r="E547" t="s">
        <v>755</v>
      </c>
      <c r="F547">
        <v>1.78</v>
      </c>
      <c r="G547">
        <v>200</v>
      </c>
      <c r="H547">
        <v>0</v>
      </c>
      <c r="I547">
        <v>34</v>
      </c>
    </row>
    <row r="548" spans="1:9">
      <c r="A548" s="6">
        <v>44849</v>
      </c>
      <c r="B548" t="s">
        <v>92</v>
      </c>
      <c r="C548" t="s">
        <v>93</v>
      </c>
      <c r="E548" t="s">
        <v>756</v>
      </c>
      <c r="F548">
        <v>0</v>
      </c>
      <c r="G548">
        <v>0</v>
      </c>
      <c r="H548">
        <v>0.3</v>
      </c>
      <c r="I548">
        <v>2</v>
      </c>
    </row>
    <row r="549" spans="1:9">
      <c r="A549" s="6">
        <v>44835</v>
      </c>
      <c r="B549" t="s">
        <v>757</v>
      </c>
      <c r="C549" t="s">
        <v>758</v>
      </c>
      <c r="D549" t="s">
        <v>759</v>
      </c>
      <c r="F549">
        <v>1.65</v>
      </c>
      <c r="G549">
        <v>181</v>
      </c>
      <c r="H549">
        <v>75.900000000000006</v>
      </c>
      <c r="I549">
        <v>85</v>
      </c>
    </row>
    <row r="550" spans="1:9">
      <c r="A550" s="6">
        <v>44837</v>
      </c>
      <c r="B550" t="s">
        <v>757</v>
      </c>
      <c r="C550" t="s">
        <v>758</v>
      </c>
      <c r="D550" t="s">
        <v>760</v>
      </c>
      <c r="F550">
        <v>2.27</v>
      </c>
      <c r="G550">
        <v>249</v>
      </c>
      <c r="H550">
        <v>55.2</v>
      </c>
      <c r="I550">
        <v>64</v>
      </c>
    </row>
    <row r="551" spans="1:9">
      <c r="A551" s="6">
        <v>44838</v>
      </c>
      <c r="B551" t="s">
        <v>757</v>
      </c>
      <c r="C551" t="s">
        <v>758</v>
      </c>
      <c r="D551" t="s">
        <v>761</v>
      </c>
      <c r="F551">
        <v>1.0900000000000001</v>
      </c>
      <c r="G551">
        <v>120</v>
      </c>
      <c r="H551">
        <v>35.1</v>
      </c>
      <c r="I551">
        <v>47</v>
      </c>
    </row>
    <row r="552" spans="1:9">
      <c r="A552" s="6">
        <v>44841</v>
      </c>
      <c r="B552" t="s">
        <v>757</v>
      </c>
      <c r="C552" t="s">
        <v>758</v>
      </c>
      <c r="D552" t="s">
        <v>762</v>
      </c>
      <c r="F552">
        <v>2</v>
      </c>
      <c r="G552">
        <v>220</v>
      </c>
      <c r="H552">
        <v>53.6</v>
      </c>
      <c r="I552">
        <v>54</v>
      </c>
    </row>
    <row r="553" spans="1:9">
      <c r="A553" s="6">
        <v>44842</v>
      </c>
      <c r="B553" t="s">
        <v>757</v>
      </c>
      <c r="C553" t="s">
        <v>758</v>
      </c>
      <c r="D553" t="s">
        <v>763</v>
      </c>
      <c r="F553">
        <v>0</v>
      </c>
      <c r="G553">
        <v>0</v>
      </c>
      <c r="H553">
        <v>55.1</v>
      </c>
      <c r="I553">
        <v>58</v>
      </c>
    </row>
    <row r="554" spans="1:9">
      <c r="A554" s="6">
        <v>44844</v>
      </c>
      <c r="B554" t="s">
        <v>757</v>
      </c>
      <c r="C554" t="s">
        <v>758</v>
      </c>
      <c r="D554" t="s">
        <v>764</v>
      </c>
      <c r="F554">
        <v>4.6500000000000004</v>
      </c>
      <c r="G554">
        <v>510</v>
      </c>
      <c r="H554">
        <v>31.5</v>
      </c>
      <c r="I554">
        <v>44</v>
      </c>
    </row>
    <row r="555" spans="1:9">
      <c r="A555" s="6">
        <v>44845</v>
      </c>
      <c r="B555" t="s">
        <v>757</v>
      </c>
      <c r="C555" t="s">
        <v>758</v>
      </c>
      <c r="D555" t="s">
        <v>765</v>
      </c>
      <c r="F555">
        <v>0</v>
      </c>
      <c r="G555">
        <v>0</v>
      </c>
      <c r="H555">
        <v>66.2</v>
      </c>
      <c r="I555">
        <v>69</v>
      </c>
    </row>
    <row r="556" spans="1:9">
      <c r="A556" s="6">
        <v>44846</v>
      </c>
      <c r="B556" t="s">
        <v>757</v>
      </c>
      <c r="C556" t="s">
        <v>758</v>
      </c>
      <c r="D556" t="s">
        <v>766</v>
      </c>
      <c r="F556">
        <v>0</v>
      </c>
      <c r="G556">
        <v>0</v>
      </c>
      <c r="H556">
        <v>40.299999999999997</v>
      </c>
      <c r="I556">
        <v>47</v>
      </c>
    </row>
    <row r="557" spans="1:9">
      <c r="A557" s="6">
        <v>44848</v>
      </c>
      <c r="B557" t="s">
        <v>757</v>
      </c>
      <c r="C557" t="s">
        <v>758</v>
      </c>
      <c r="D557" t="s">
        <v>767</v>
      </c>
      <c r="F557">
        <v>0</v>
      </c>
      <c r="G557">
        <v>0</v>
      </c>
      <c r="H557">
        <v>49.1</v>
      </c>
      <c r="I557">
        <v>60</v>
      </c>
    </row>
    <row r="558" spans="1:9">
      <c r="A558" s="6">
        <v>44836</v>
      </c>
      <c r="B558" t="s">
        <v>768</v>
      </c>
      <c r="C558" t="s">
        <v>769</v>
      </c>
      <c r="F558">
        <v>0</v>
      </c>
      <c r="G558">
        <v>0</v>
      </c>
      <c r="H558">
        <v>0</v>
      </c>
      <c r="I558">
        <v>0</v>
      </c>
    </row>
    <row r="559" spans="1:9">
      <c r="A559" s="6">
        <v>44838</v>
      </c>
      <c r="B559" t="s">
        <v>768</v>
      </c>
      <c r="C559" t="s">
        <v>769</v>
      </c>
      <c r="F559">
        <v>0</v>
      </c>
      <c r="G559">
        <v>0</v>
      </c>
      <c r="H559">
        <v>383.9</v>
      </c>
      <c r="I559">
        <v>0</v>
      </c>
    </row>
    <row r="560" spans="1:9">
      <c r="A560" s="6">
        <v>44840</v>
      </c>
      <c r="B560" t="s">
        <v>768</v>
      </c>
      <c r="C560" t="s">
        <v>769</v>
      </c>
      <c r="F560">
        <v>0</v>
      </c>
      <c r="G560">
        <v>0</v>
      </c>
      <c r="H560">
        <v>0</v>
      </c>
      <c r="I560">
        <v>0</v>
      </c>
    </row>
    <row r="561" spans="1:9">
      <c r="A561" s="6">
        <v>44842</v>
      </c>
      <c r="B561" t="s">
        <v>768</v>
      </c>
      <c r="C561" t="s">
        <v>769</v>
      </c>
      <c r="F561">
        <v>0</v>
      </c>
      <c r="G561">
        <v>0</v>
      </c>
      <c r="H561">
        <v>0</v>
      </c>
      <c r="I561">
        <v>0</v>
      </c>
    </row>
    <row r="562" spans="1:9">
      <c r="A562" s="6">
        <v>44845</v>
      </c>
      <c r="B562" t="s">
        <v>768</v>
      </c>
      <c r="C562" t="s">
        <v>769</v>
      </c>
      <c r="F562">
        <v>0</v>
      </c>
      <c r="G562">
        <v>0</v>
      </c>
      <c r="H562">
        <v>116.1</v>
      </c>
      <c r="I562">
        <v>0</v>
      </c>
    </row>
    <row r="563" spans="1:9">
      <c r="A563" s="6">
        <v>44846</v>
      </c>
      <c r="B563" t="s">
        <v>768</v>
      </c>
      <c r="C563" t="s">
        <v>769</v>
      </c>
      <c r="E563" t="s">
        <v>770</v>
      </c>
      <c r="F563">
        <v>0</v>
      </c>
      <c r="G563">
        <v>0</v>
      </c>
      <c r="H563">
        <v>81.599999999999994</v>
      </c>
      <c r="I563">
        <v>98</v>
      </c>
    </row>
    <row r="564" spans="1:9">
      <c r="A564" s="6">
        <v>44847</v>
      </c>
      <c r="B564" t="s">
        <v>768</v>
      </c>
      <c r="C564" t="s">
        <v>769</v>
      </c>
      <c r="E564" t="s">
        <v>771</v>
      </c>
      <c r="F564">
        <v>0</v>
      </c>
      <c r="G564">
        <v>0</v>
      </c>
      <c r="H564">
        <v>194.2</v>
      </c>
      <c r="I564">
        <v>0</v>
      </c>
    </row>
    <row r="565" spans="1:9">
      <c r="A565" s="6">
        <v>44848</v>
      </c>
      <c r="B565" t="s">
        <v>768</v>
      </c>
      <c r="C565" t="s">
        <v>769</v>
      </c>
      <c r="E565" t="s">
        <v>772</v>
      </c>
      <c r="F565">
        <v>0</v>
      </c>
      <c r="G565">
        <v>0</v>
      </c>
      <c r="H565">
        <v>3.6</v>
      </c>
      <c r="I565">
        <v>7</v>
      </c>
    </row>
    <row r="566" spans="1:9">
      <c r="A566" s="6">
        <v>44835</v>
      </c>
      <c r="B566" t="s">
        <v>773</v>
      </c>
      <c r="C566" t="s">
        <v>774</v>
      </c>
      <c r="E566" t="s">
        <v>775</v>
      </c>
      <c r="F566">
        <v>1.21</v>
      </c>
      <c r="G566">
        <v>130</v>
      </c>
      <c r="H566">
        <v>42.3</v>
      </c>
      <c r="I566">
        <v>60</v>
      </c>
    </row>
    <row r="567" spans="1:9">
      <c r="A567" s="6">
        <v>44837</v>
      </c>
      <c r="B567" t="s">
        <v>773</v>
      </c>
      <c r="C567" t="s">
        <v>774</v>
      </c>
      <c r="E567" t="s">
        <v>776</v>
      </c>
      <c r="F567">
        <v>1.4</v>
      </c>
      <c r="G567">
        <v>150</v>
      </c>
      <c r="H567">
        <v>36.1</v>
      </c>
      <c r="I567">
        <v>57</v>
      </c>
    </row>
    <row r="568" spans="1:9">
      <c r="A568" s="6">
        <v>44838</v>
      </c>
      <c r="B568" t="s">
        <v>773</v>
      </c>
      <c r="C568" t="s">
        <v>774</v>
      </c>
      <c r="E568" t="s">
        <v>777</v>
      </c>
      <c r="F568">
        <v>1.87</v>
      </c>
      <c r="G568">
        <v>200</v>
      </c>
      <c r="H568">
        <v>118.3</v>
      </c>
      <c r="I568">
        <v>124</v>
      </c>
    </row>
    <row r="569" spans="1:9">
      <c r="A569" s="6">
        <v>44840</v>
      </c>
      <c r="B569" t="s">
        <v>773</v>
      </c>
      <c r="C569" t="s">
        <v>774</v>
      </c>
      <c r="E569" t="s">
        <v>778</v>
      </c>
      <c r="F569">
        <v>1.86</v>
      </c>
      <c r="G569">
        <v>200</v>
      </c>
      <c r="H569">
        <v>63.8</v>
      </c>
      <c r="I569">
        <v>71</v>
      </c>
    </row>
    <row r="570" spans="1:9">
      <c r="A570" s="6">
        <v>44841</v>
      </c>
      <c r="B570" t="s">
        <v>773</v>
      </c>
      <c r="C570" t="s">
        <v>774</v>
      </c>
      <c r="E570" t="s">
        <v>779</v>
      </c>
      <c r="F570">
        <v>0.93</v>
      </c>
      <c r="G570">
        <v>100</v>
      </c>
      <c r="H570">
        <v>36.9</v>
      </c>
      <c r="I570">
        <v>38</v>
      </c>
    </row>
    <row r="571" spans="1:9">
      <c r="A571" s="6">
        <v>44842</v>
      </c>
      <c r="B571" t="s">
        <v>773</v>
      </c>
      <c r="C571" t="s">
        <v>774</v>
      </c>
      <c r="F571">
        <v>0</v>
      </c>
      <c r="G571">
        <v>0</v>
      </c>
      <c r="H571">
        <v>0.2</v>
      </c>
      <c r="I571">
        <v>0</v>
      </c>
    </row>
    <row r="572" spans="1:9">
      <c r="A572" s="6">
        <v>44844</v>
      </c>
      <c r="B572" t="s">
        <v>773</v>
      </c>
      <c r="C572" t="s">
        <v>774</v>
      </c>
      <c r="E572" t="s">
        <v>780</v>
      </c>
      <c r="F572">
        <v>1.03</v>
      </c>
      <c r="G572">
        <v>110</v>
      </c>
      <c r="H572">
        <v>38.6</v>
      </c>
      <c r="I572">
        <v>50</v>
      </c>
    </row>
    <row r="573" spans="1:9">
      <c r="A573" s="6">
        <v>44845</v>
      </c>
      <c r="B573" t="s">
        <v>773</v>
      </c>
      <c r="C573" t="s">
        <v>774</v>
      </c>
      <c r="E573" t="s">
        <v>781</v>
      </c>
      <c r="F573">
        <v>2.33</v>
      </c>
      <c r="G573">
        <v>250</v>
      </c>
      <c r="H573">
        <v>30.9</v>
      </c>
      <c r="I573">
        <v>50</v>
      </c>
    </row>
    <row r="574" spans="1:9">
      <c r="A574" s="6">
        <v>44846</v>
      </c>
      <c r="B574" t="s">
        <v>773</v>
      </c>
      <c r="C574" t="s">
        <v>774</v>
      </c>
      <c r="E574" t="s">
        <v>782</v>
      </c>
      <c r="F574">
        <v>1.4</v>
      </c>
      <c r="G574">
        <v>150</v>
      </c>
      <c r="H574">
        <v>54.5</v>
      </c>
      <c r="I574">
        <v>62</v>
      </c>
    </row>
    <row r="575" spans="1:9">
      <c r="A575" s="6">
        <v>44847</v>
      </c>
      <c r="B575" t="s">
        <v>773</v>
      </c>
      <c r="C575" t="s">
        <v>774</v>
      </c>
      <c r="E575" t="s">
        <v>783</v>
      </c>
      <c r="F575">
        <v>1.39</v>
      </c>
      <c r="G575">
        <v>150</v>
      </c>
      <c r="H575">
        <v>54.1</v>
      </c>
      <c r="I575">
        <v>63</v>
      </c>
    </row>
    <row r="576" spans="1:9">
      <c r="A576" s="6">
        <v>44848</v>
      </c>
      <c r="B576" t="s">
        <v>773</v>
      </c>
      <c r="C576" t="s">
        <v>774</v>
      </c>
      <c r="E576" t="s">
        <v>784</v>
      </c>
      <c r="F576">
        <v>1.31</v>
      </c>
      <c r="G576">
        <v>150</v>
      </c>
      <c r="H576">
        <v>74</v>
      </c>
      <c r="I576">
        <v>74</v>
      </c>
    </row>
    <row r="577" spans="1:9">
      <c r="A577" s="6">
        <v>44849</v>
      </c>
      <c r="B577" t="s">
        <v>773</v>
      </c>
      <c r="C577" t="s">
        <v>774</v>
      </c>
      <c r="E577" t="s">
        <v>785</v>
      </c>
      <c r="F577">
        <v>1.4</v>
      </c>
      <c r="G577">
        <v>150</v>
      </c>
      <c r="H577">
        <v>145.4</v>
      </c>
      <c r="I577">
        <v>70</v>
      </c>
    </row>
    <row r="578" spans="1:9">
      <c r="A578" s="6">
        <v>44839</v>
      </c>
      <c r="B578" t="s">
        <v>80</v>
      </c>
      <c r="C578" t="s">
        <v>81</v>
      </c>
      <c r="E578" t="s">
        <v>786</v>
      </c>
      <c r="F578">
        <v>0</v>
      </c>
      <c r="G578">
        <v>0</v>
      </c>
      <c r="H578">
        <v>18.899999999999999</v>
      </c>
      <c r="I578">
        <v>0</v>
      </c>
    </row>
    <row r="579" spans="1:9">
      <c r="A579" s="6">
        <v>44840</v>
      </c>
      <c r="B579" t="s">
        <v>80</v>
      </c>
      <c r="C579" t="s">
        <v>81</v>
      </c>
      <c r="E579" t="s">
        <v>787</v>
      </c>
      <c r="F579">
        <v>20.55</v>
      </c>
      <c r="G579">
        <v>2000</v>
      </c>
      <c r="H579">
        <v>25.6</v>
      </c>
      <c r="I579">
        <v>34</v>
      </c>
    </row>
    <row r="580" spans="1:9">
      <c r="A580" s="6">
        <v>44845</v>
      </c>
      <c r="B580" t="s">
        <v>80</v>
      </c>
      <c r="C580" t="s">
        <v>81</v>
      </c>
      <c r="F580">
        <v>0</v>
      </c>
      <c r="G580">
        <v>0</v>
      </c>
      <c r="H580">
        <v>151.69999999999999</v>
      </c>
      <c r="I580">
        <v>0</v>
      </c>
    </row>
    <row r="581" spans="1:9">
      <c r="A581" s="6">
        <v>44848</v>
      </c>
      <c r="B581" t="s">
        <v>80</v>
      </c>
      <c r="C581" t="s">
        <v>81</v>
      </c>
      <c r="E581" t="s">
        <v>788</v>
      </c>
      <c r="F581">
        <v>0</v>
      </c>
      <c r="G581">
        <v>0</v>
      </c>
      <c r="H581">
        <v>60.4</v>
      </c>
      <c r="I581">
        <v>36</v>
      </c>
    </row>
    <row r="582" spans="1:9">
      <c r="A582" s="6">
        <v>44835</v>
      </c>
      <c r="B582" t="s">
        <v>23</v>
      </c>
      <c r="C582" t="s">
        <v>24</v>
      </c>
      <c r="E582" t="s">
        <v>789</v>
      </c>
      <c r="F582">
        <v>20.85</v>
      </c>
      <c r="G582">
        <v>2000</v>
      </c>
      <c r="H582">
        <v>36.200000000000003</v>
      </c>
      <c r="I582">
        <v>116</v>
      </c>
    </row>
    <row r="583" spans="1:9">
      <c r="A583" s="6">
        <v>44836</v>
      </c>
      <c r="B583" t="s">
        <v>23</v>
      </c>
      <c r="C583" t="s">
        <v>24</v>
      </c>
      <c r="D583" t="s">
        <v>790</v>
      </c>
      <c r="F583">
        <v>0</v>
      </c>
      <c r="G583">
        <v>0</v>
      </c>
      <c r="H583">
        <v>0</v>
      </c>
      <c r="I583">
        <v>32</v>
      </c>
    </row>
    <row r="584" spans="1:9">
      <c r="A584" s="6">
        <v>44837</v>
      </c>
      <c r="B584" t="s">
        <v>23</v>
      </c>
      <c r="C584" t="s">
        <v>24</v>
      </c>
      <c r="E584" t="s">
        <v>791</v>
      </c>
      <c r="F584">
        <v>0</v>
      </c>
      <c r="G584">
        <v>0</v>
      </c>
      <c r="H584">
        <v>1.5</v>
      </c>
      <c r="I584">
        <v>124</v>
      </c>
    </row>
    <row r="585" spans="1:9">
      <c r="A585" s="6">
        <v>44838</v>
      </c>
      <c r="B585" t="s">
        <v>23</v>
      </c>
      <c r="C585" t="s">
        <v>24</v>
      </c>
      <c r="E585" t="s">
        <v>792</v>
      </c>
      <c r="F585">
        <v>0</v>
      </c>
      <c r="G585">
        <v>0</v>
      </c>
      <c r="H585">
        <v>0.6</v>
      </c>
      <c r="I585">
        <v>56</v>
      </c>
    </row>
    <row r="586" spans="1:9">
      <c r="A586" s="6">
        <v>44840</v>
      </c>
      <c r="B586" t="s">
        <v>23</v>
      </c>
      <c r="C586" t="s">
        <v>24</v>
      </c>
      <c r="E586" t="s">
        <v>793</v>
      </c>
      <c r="F586">
        <v>20.85</v>
      </c>
      <c r="G586">
        <v>2000</v>
      </c>
      <c r="H586">
        <v>28.7</v>
      </c>
      <c r="I586">
        <v>56</v>
      </c>
    </row>
    <row r="587" spans="1:9">
      <c r="A587" s="6">
        <v>44841</v>
      </c>
      <c r="B587" t="s">
        <v>23</v>
      </c>
      <c r="C587" t="s">
        <v>24</v>
      </c>
      <c r="E587" t="s">
        <v>794</v>
      </c>
      <c r="F587">
        <v>0</v>
      </c>
      <c r="G587">
        <v>0</v>
      </c>
      <c r="H587">
        <v>0.9</v>
      </c>
      <c r="I587">
        <v>62</v>
      </c>
    </row>
    <row r="588" spans="1:9">
      <c r="A588" s="6">
        <v>44842</v>
      </c>
      <c r="B588" t="s">
        <v>23</v>
      </c>
      <c r="C588" t="s">
        <v>24</v>
      </c>
      <c r="F588">
        <v>0</v>
      </c>
      <c r="G588">
        <v>0</v>
      </c>
      <c r="H588">
        <v>201.6</v>
      </c>
      <c r="I588">
        <v>0</v>
      </c>
    </row>
    <row r="589" spans="1:9">
      <c r="A589" s="6">
        <v>44843</v>
      </c>
      <c r="B589" t="s">
        <v>23</v>
      </c>
      <c r="C589" t="s">
        <v>24</v>
      </c>
      <c r="D589" t="s">
        <v>795</v>
      </c>
      <c r="F589">
        <v>0</v>
      </c>
      <c r="G589">
        <v>0</v>
      </c>
      <c r="H589">
        <v>74.099999999999994</v>
      </c>
      <c r="I589">
        <v>32</v>
      </c>
    </row>
    <row r="590" spans="1:9">
      <c r="A590" s="6">
        <v>44844</v>
      </c>
      <c r="B590" t="s">
        <v>23</v>
      </c>
      <c r="C590" t="s">
        <v>24</v>
      </c>
      <c r="E590" t="s">
        <v>796</v>
      </c>
      <c r="F590">
        <v>0</v>
      </c>
      <c r="G590">
        <v>0</v>
      </c>
      <c r="H590">
        <v>8.5</v>
      </c>
      <c r="I590">
        <v>59</v>
      </c>
    </row>
    <row r="591" spans="1:9">
      <c r="A591" s="6">
        <v>44845</v>
      </c>
      <c r="B591" t="s">
        <v>23</v>
      </c>
      <c r="C591" t="s">
        <v>24</v>
      </c>
      <c r="E591" t="s">
        <v>797</v>
      </c>
      <c r="F591">
        <v>0</v>
      </c>
      <c r="G591">
        <v>0</v>
      </c>
      <c r="H591">
        <v>24.9</v>
      </c>
      <c r="I591">
        <v>50</v>
      </c>
    </row>
    <row r="592" spans="1:9">
      <c r="A592" s="6">
        <v>44846</v>
      </c>
      <c r="B592" t="s">
        <v>23</v>
      </c>
      <c r="C592" t="s">
        <v>24</v>
      </c>
      <c r="E592" t="s">
        <v>798</v>
      </c>
      <c r="F592">
        <v>20.84</v>
      </c>
      <c r="G592">
        <v>2000</v>
      </c>
      <c r="H592">
        <v>40.4</v>
      </c>
      <c r="I592">
        <v>94</v>
      </c>
    </row>
    <row r="593" spans="1:9">
      <c r="A593" s="6">
        <v>44847</v>
      </c>
      <c r="B593" t="s">
        <v>23</v>
      </c>
      <c r="C593" t="s">
        <v>24</v>
      </c>
      <c r="E593" t="s">
        <v>799</v>
      </c>
      <c r="F593">
        <v>0</v>
      </c>
      <c r="G593">
        <v>0</v>
      </c>
      <c r="H593">
        <v>7.5</v>
      </c>
      <c r="I593">
        <v>60</v>
      </c>
    </row>
    <row r="594" spans="1:9">
      <c r="A594" s="6">
        <v>44848</v>
      </c>
      <c r="B594" t="s">
        <v>23</v>
      </c>
      <c r="C594" t="s">
        <v>24</v>
      </c>
      <c r="E594" t="s">
        <v>800</v>
      </c>
      <c r="F594">
        <v>0</v>
      </c>
      <c r="G594">
        <v>0</v>
      </c>
      <c r="H594">
        <v>10.7</v>
      </c>
      <c r="I594">
        <v>64</v>
      </c>
    </row>
    <row r="595" spans="1:9">
      <c r="A595" s="6">
        <v>44849</v>
      </c>
      <c r="B595" t="s">
        <v>23</v>
      </c>
      <c r="C595" t="s">
        <v>24</v>
      </c>
      <c r="E595" t="s">
        <v>801</v>
      </c>
      <c r="F595">
        <v>0</v>
      </c>
      <c r="G595">
        <v>0</v>
      </c>
      <c r="H595">
        <v>3.2</v>
      </c>
      <c r="I595">
        <v>107</v>
      </c>
    </row>
    <row r="596" spans="1:9">
      <c r="A596" s="6">
        <v>44835</v>
      </c>
      <c r="B596" t="s">
        <v>66</v>
      </c>
      <c r="C596" t="s">
        <v>67</v>
      </c>
      <c r="E596" t="s">
        <v>802</v>
      </c>
      <c r="F596">
        <v>0</v>
      </c>
      <c r="G596">
        <v>0</v>
      </c>
      <c r="H596">
        <v>0.1</v>
      </c>
      <c r="I596">
        <v>0</v>
      </c>
    </row>
    <row r="597" spans="1:9">
      <c r="A597" s="6">
        <v>44837</v>
      </c>
      <c r="B597" t="s">
        <v>66</v>
      </c>
      <c r="C597" t="s">
        <v>67</v>
      </c>
      <c r="E597" t="s">
        <v>803</v>
      </c>
      <c r="F597">
        <v>4.6500000000000004</v>
      </c>
      <c r="G597">
        <v>500</v>
      </c>
      <c r="H597">
        <v>70.400000000000006</v>
      </c>
      <c r="I597">
        <v>75</v>
      </c>
    </row>
    <row r="598" spans="1:9">
      <c r="A598" s="6">
        <v>44838</v>
      </c>
      <c r="B598" t="s">
        <v>66</v>
      </c>
      <c r="C598" t="s">
        <v>67</v>
      </c>
      <c r="E598" t="s">
        <v>804</v>
      </c>
      <c r="F598">
        <v>0</v>
      </c>
      <c r="G598">
        <v>0</v>
      </c>
      <c r="H598">
        <v>98</v>
      </c>
      <c r="I598">
        <v>110</v>
      </c>
    </row>
    <row r="599" spans="1:9">
      <c r="A599" s="6">
        <v>44840</v>
      </c>
      <c r="B599" t="s">
        <v>66</v>
      </c>
      <c r="C599" t="s">
        <v>67</v>
      </c>
      <c r="E599" t="s">
        <v>805</v>
      </c>
      <c r="F599">
        <v>4.6500000000000004</v>
      </c>
      <c r="G599">
        <v>500</v>
      </c>
      <c r="H599">
        <v>70.900000000000006</v>
      </c>
      <c r="I599">
        <v>81</v>
      </c>
    </row>
    <row r="600" spans="1:9">
      <c r="A600" s="6">
        <v>44841</v>
      </c>
      <c r="B600" t="s">
        <v>66</v>
      </c>
      <c r="C600" t="s">
        <v>67</v>
      </c>
      <c r="E600" t="s">
        <v>806</v>
      </c>
      <c r="F600">
        <v>0</v>
      </c>
      <c r="G600">
        <v>0</v>
      </c>
      <c r="H600">
        <v>69.900000000000006</v>
      </c>
      <c r="I600">
        <v>80</v>
      </c>
    </row>
    <row r="601" spans="1:9">
      <c r="A601" s="6">
        <v>44842</v>
      </c>
      <c r="B601" t="s">
        <v>66</v>
      </c>
      <c r="C601" t="s">
        <v>67</v>
      </c>
      <c r="F601">
        <v>0</v>
      </c>
      <c r="G601">
        <v>0</v>
      </c>
      <c r="H601">
        <v>220.2</v>
      </c>
      <c r="I601">
        <v>0</v>
      </c>
    </row>
    <row r="602" spans="1:9">
      <c r="A602" s="6">
        <v>44844</v>
      </c>
      <c r="B602" t="s">
        <v>66</v>
      </c>
      <c r="C602" t="s">
        <v>67</v>
      </c>
      <c r="E602" t="s">
        <v>807</v>
      </c>
      <c r="F602">
        <v>4.63</v>
      </c>
      <c r="G602">
        <v>500</v>
      </c>
      <c r="H602">
        <v>69.8</v>
      </c>
      <c r="I602">
        <v>77</v>
      </c>
    </row>
    <row r="603" spans="1:9">
      <c r="A603" s="6">
        <v>44845</v>
      </c>
      <c r="B603" t="s">
        <v>66</v>
      </c>
      <c r="C603" t="s">
        <v>67</v>
      </c>
      <c r="E603" t="s">
        <v>808</v>
      </c>
      <c r="F603">
        <v>0</v>
      </c>
      <c r="G603">
        <v>0</v>
      </c>
      <c r="H603">
        <v>42.2</v>
      </c>
      <c r="I603">
        <v>59</v>
      </c>
    </row>
    <row r="604" spans="1:9">
      <c r="A604" s="6">
        <v>44846</v>
      </c>
      <c r="B604" t="s">
        <v>66</v>
      </c>
      <c r="C604" t="s">
        <v>67</v>
      </c>
      <c r="F604">
        <v>0</v>
      </c>
      <c r="G604">
        <v>0</v>
      </c>
      <c r="H604">
        <v>173.6</v>
      </c>
      <c r="I604">
        <v>0</v>
      </c>
    </row>
    <row r="605" spans="1:9">
      <c r="A605" s="6">
        <v>44847</v>
      </c>
      <c r="B605" t="s">
        <v>66</v>
      </c>
      <c r="C605" t="s">
        <v>67</v>
      </c>
      <c r="E605" t="s">
        <v>809</v>
      </c>
      <c r="F605">
        <v>0</v>
      </c>
      <c r="G605">
        <v>0</v>
      </c>
      <c r="H605">
        <v>0.9</v>
      </c>
      <c r="I605">
        <v>0</v>
      </c>
    </row>
    <row r="606" spans="1:9">
      <c r="A606" s="6">
        <v>44848</v>
      </c>
      <c r="B606" t="s">
        <v>66</v>
      </c>
      <c r="C606" t="s">
        <v>67</v>
      </c>
      <c r="F606">
        <v>0</v>
      </c>
      <c r="G606">
        <v>0</v>
      </c>
      <c r="H606">
        <v>206.2</v>
      </c>
      <c r="I606">
        <v>0</v>
      </c>
    </row>
    <row r="607" spans="1:9">
      <c r="A607" s="6">
        <v>44849</v>
      </c>
      <c r="B607" t="s">
        <v>66</v>
      </c>
      <c r="C607" t="s">
        <v>67</v>
      </c>
      <c r="E607" t="s">
        <v>810</v>
      </c>
      <c r="F607">
        <v>0</v>
      </c>
      <c r="G607">
        <v>0</v>
      </c>
      <c r="H607">
        <v>71.599999999999994</v>
      </c>
      <c r="I607">
        <v>80</v>
      </c>
    </row>
    <row r="608" spans="1:9">
      <c r="A608" s="6">
        <v>44835</v>
      </c>
      <c r="B608" t="s">
        <v>68</v>
      </c>
      <c r="C608" t="s">
        <v>69</v>
      </c>
      <c r="E608" t="s">
        <v>811</v>
      </c>
      <c r="F608">
        <v>0</v>
      </c>
      <c r="G608">
        <v>0</v>
      </c>
      <c r="H608">
        <v>27</v>
      </c>
      <c r="I608">
        <v>26</v>
      </c>
    </row>
    <row r="609" spans="1:9">
      <c r="A609" s="6">
        <v>44837</v>
      </c>
      <c r="B609" t="s">
        <v>68</v>
      </c>
      <c r="C609" t="s">
        <v>69</v>
      </c>
      <c r="E609" t="s">
        <v>812</v>
      </c>
      <c r="F609">
        <v>0</v>
      </c>
      <c r="G609">
        <v>0</v>
      </c>
      <c r="H609">
        <v>201.4</v>
      </c>
      <c r="I609">
        <v>87</v>
      </c>
    </row>
    <row r="610" spans="1:9">
      <c r="A610" s="6">
        <v>44838</v>
      </c>
      <c r="B610" t="s">
        <v>68</v>
      </c>
      <c r="C610" t="s">
        <v>69</v>
      </c>
      <c r="E610" t="s">
        <v>813</v>
      </c>
      <c r="F610">
        <v>0</v>
      </c>
      <c r="G610">
        <v>0</v>
      </c>
      <c r="H610">
        <v>58.4</v>
      </c>
      <c r="I610">
        <v>34</v>
      </c>
    </row>
    <row r="611" spans="1:9">
      <c r="A611" s="6">
        <v>44839</v>
      </c>
      <c r="B611" t="s">
        <v>68</v>
      </c>
      <c r="C611" t="s">
        <v>69</v>
      </c>
      <c r="E611" t="s">
        <v>814</v>
      </c>
      <c r="F611">
        <v>0</v>
      </c>
      <c r="G611">
        <v>0</v>
      </c>
      <c r="H611">
        <v>27.9</v>
      </c>
      <c r="I611">
        <v>33</v>
      </c>
    </row>
    <row r="612" spans="1:9">
      <c r="A612" s="6">
        <v>44840</v>
      </c>
      <c r="B612" t="s">
        <v>68</v>
      </c>
      <c r="C612" t="s">
        <v>69</v>
      </c>
      <c r="E612" t="s">
        <v>815</v>
      </c>
      <c r="F612">
        <v>5.17</v>
      </c>
      <c r="G612">
        <v>500</v>
      </c>
      <c r="H612">
        <v>38.4</v>
      </c>
      <c r="I612">
        <v>49</v>
      </c>
    </row>
    <row r="613" spans="1:9">
      <c r="A613" s="6">
        <v>44841</v>
      </c>
      <c r="B613" t="s">
        <v>68</v>
      </c>
      <c r="C613" t="s">
        <v>69</v>
      </c>
      <c r="E613" t="s">
        <v>816</v>
      </c>
      <c r="F613">
        <v>0</v>
      </c>
      <c r="G613">
        <v>0</v>
      </c>
      <c r="H613">
        <v>33.299999999999997</v>
      </c>
      <c r="I613">
        <v>42</v>
      </c>
    </row>
    <row r="614" spans="1:9">
      <c r="A614" s="6">
        <v>44842</v>
      </c>
      <c r="B614" t="s">
        <v>68</v>
      </c>
      <c r="C614" t="s">
        <v>69</v>
      </c>
      <c r="E614" t="s">
        <v>817</v>
      </c>
      <c r="F614">
        <v>0</v>
      </c>
      <c r="G614">
        <v>0</v>
      </c>
      <c r="H614">
        <v>24.8</v>
      </c>
      <c r="I614">
        <v>26</v>
      </c>
    </row>
    <row r="615" spans="1:9">
      <c r="A615" s="6">
        <v>44844</v>
      </c>
      <c r="B615" t="s">
        <v>68</v>
      </c>
      <c r="C615" t="s">
        <v>69</v>
      </c>
      <c r="E615" t="s">
        <v>818</v>
      </c>
      <c r="F615">
        <v>0</v>
      </c>
      <c r="G615">
        <v>0</v>
      </c>
      <c r="H615">
        <v>70.099999999999994</v>
      </c>
      <c r="I615">
        <v>90</v>
      </c>
    </row>
    <row r="616" spans="1:9">
      <c r="A616" s="6">
        <v>44845</v>
      </c>
      <c r="B616" t="s">
        <v>68</v>
      </c>
      <c r="C616" t="s">
        <v>69</v>
      </c>
      <c r="E616" t="s">
        <v>819</v>
      </c>
      <c r="F616">
        <v>0</v>
      </c>
      <c r="G616">
        <v>0</v>
      </c>
      <c r="H616">
        <v>106.4</v>
      </c>
      <c r="I616">
        <v>0</v>
      </c>
    </row>
    <row r="617" spans="1:9">
      <c r="A617" s="6">
        <v>44846</v>
      </c>
      <c r="B617" t="s">
        <v>68</v>
      </c>
      <c r="C617" t="s">
        <v>69</v>
      </c>
      <c r="E617" t="s">
        <v>820</v>
      </c>
      <c r="F617">
        <v>0</v>
      </c>
      <c r="G617">
        <v>0</v>
      </c>
      <c r="H617">
        <v>151.6</v>
      </c>
      <c r="I617">
        <v>14</v>
      </c>
    </row>
    <row r="618" spans="1:9">
      <c r="A618" s="6">
        <v>44847</v>
      </c>
      <c r="B618" t="s">
        <v>68</v>
      </c>
      <c r="C618" t="s">
        <v>69</v>
      </c>
      <c r="E618" t="s">
        <v>821</v>
      </c>
      <c r="F618">
        <v>0</v>
      </c>
      <c r="G618">
        <v>0</v>
      </c>
      <c r="H618">
        <v>24.8</v>
      </c>
      <c r="I618">
        <v>32</v>
      </c>
    </row>
    <row r="619" spans="1:9">
      <c r="A619" s="6">
        <v>44848</v>
      </c>
      <c r="B619" t="s">
        <v>68</v>
      </c>
      <c r="C619" t="s">
        <v>69</v>
      </c>
      <c r="E619" t="s">
        <v>822</v>
      </c>
      <c r="F619">
        <v>0</v>
      </c>
      <c r="G619">
        <v>0</v>
      </c>
      <c r="H619">
        <v>34.6</v>
      </c>
      <c r="I619">
        <v>63</v>
      </c>
    </row>
    <row r="620" spans="1:9">
      <c r="A620" s="6">
        <v>44849</v>
      </c>
      <c r="B620" t="s">
        <v>68</v>
      </c>
      <c r="C620" t="s">
        <v>69</v>
      </c>
      <c r="E620" t="s">
        <v>823</v>
      </c>
      <c r="F620">
        <v>0</v>
      </c>
      <c r="G620">
        <v>0</v>
      </c>
      <c r="H620">
        <v>33</v>
      </c>
      <c r="I620">
        <v>32</v>
      </c>
    </row>
    <row r="621" spans="1:9">
      <c r="A621" s="6">
        <v>44835</v>
      </c>
      <c r="B621" t="s">
        <v>70</v>
      </c>
      <c r="C621" t="s">
        <v>71</v>
      </c>
      <c r="F621">
        <v>0</v>
      </c>
      <c r="G621">
        <v>0</v>
      </c>
      <c r="H621">
        <v>2</v>
      </c>
      <c r="I621">
        <v>0</v>
      </c>
    </row>
    <row r="622" spans="1:9">
      <c r="A622" s="6">
        <v>44837</v>
      </c>
      <c r="B622" t="s">
        <v>70</v>
      </c>
      <c r="C622" t="s">
        <v>71</v>
      </c>
      <c r="F622">
        <v>0</v>
      </c>
      <c r="G622">
        <v>0</v>
      </c>
      <c r="H622">
        <v>0</v>
      </c>
      <c r="I622">
        <v>0</v>
      </c>
    </row>
    <row r="623" spans="1:9">
      <c r="A623" s="6">
        <v>44838</v>
      </c>
      <c r="B623" t="s">
        <v>70</v>
      </c>
      <c r="C623" t="s">
        <v>71</v>
      </c>
      <c r="F623">
        <v>0</v>
      </c>
      <c r="G623">
        <v>0</v>
      </c>
      <c r="H623">
        <v>0.4</v>
      </c>
      <c r="I623">
        <v>0</v>
      </c>
    </row>
    <row r="624" spans="1:9">
      <c r="A624" s="6">
        <v>44840</v>
      </c>
      <c r="B624" t="s">
        <v>70</v>
      </c>
      <c r="C624" t="s">
        <v>71</v>
      </c>
      <c r="F624">
        <v>0</v>
      </c>
      <c r="G624">
        <v>0</v>
      </c>
      <c r="H624">
        <v>2.2999999999999998</v>
      </c>
      <c r="I624">
        <v>0</v>
      </c>
    </row>
    <row r="625" spans="1:9">
      <c r="A625" s="6">
        <v>44841</v>
      </c>
      <c r="B625" t="s">
        <v>70</v>
      </c>
      <c r="C625" t="s">
        <v>71</v>
      </c>
      <c r="F625">
        <v>0</v>
      </c>
      <c r="G625">
        <v>0</v>
      </c>
      <c r="H625">
        <v>3.7</v>
      </c>
      <c r="I625">
        <v>0</v>
      </c>
    </row>
    <row r="626" spans="1:9">
      <c r="A626" s="6">
        <v>44842</v>
      </c>
      <c r="B626" t="s">
        <v>70</v>
      </c>
      <c r="C626" t="s">
        <v>71</v>
      </c>
      <c r="F626">
        <v>0</v>
      </c>
      <c r="G626">
        <v>0</v>
      </c>
      <c r="H626">
        <v>2.6</v>
      </c>
      <c r="I626">
        <v>0</v>
      </c>
    </row>
    <row r="627" spans="1:9">
      <c r="A627" s="6">
        <v>44844</v>
      </c>
      <c r="B627" t="s">
        <v>70</v>
      </c>
      <c r="C627" t="s">
        <v>71</v>
      </c>
      <c r="F627">
        <v>0</v>
      </c>
      <c r="G627">
        <v>0</v>
      </c>
      <c r="H627">
        <v>0</v>
      </c>
      <c r="I627">
        <v>0</v>
      </c>
    </row>
    <row r="628" spans="1:9">
      <c r="A628" s="6">
        <v>44845</v>
      </c>
      <c r="B628" t="s">
        <v>70</v>
      </c>
      <c r="C628" t="s">
        <v>71</v>
      </c>
      <c r="F628">
        <v>0</v>
      </c>
      <c r="G628">
        <v>0</v>
      </c>
      <c r="H628">
        <v>0</v>
      </c>
      <c r="I628">
        <v>0</v>
      </c>
    </row>
    <row r="629" spans="1:9">
      <c r="A629" s="6">
        <v>44846</v>
      </c>
      <c r="B629" t="s">
        <v>70</v>
      </c>
      <c r="C629" t="s">
        <v>71</v>
      </c>
      <c r="F629">
        <v>0</v>
      </c>
      <c r="G629">
        <v>0</v>
      </c>
      <c r="H629">
        <v>1</v>
      </c>
      <c r="I629">
        <v>0</v>
      </c>
    </row>
    <row r="630" spans="1:9">
      <c r="A630" s="6">
        <v>44847</v>
      </c>
      <c r="B630" t="s">
        <v>70</v>
      </c>
      <c r="C630" t="s">
        <v>71</v>
      </c>
      <c r="F630">
        <v>0</v>
      </c>
      <c r="G630">
        <v>0</v>
      </c>
      <c r="H630">
        <v>0.7</v>
      </c>
      <c r="I630">
        <v>0</v>
      </c>
    </row>
    <row r="631" spans="1:9">
      <c r="A631" s="6">
        <v>44848</v>
      </c>
      <c r="B631" t="s">
        <v>70</v>
      </c>
      <c r="C631" t="s">
        <v>71</v>
      </c>
      <c r="F631">
        <v>0</v>
      </c>
      <c r="G631">
        <v>0</v>
      </c>
      <c r="H631">
        <v>0</v>
      </c>
      <c r="I631">
        <v>0</v>
      </c>
    </row>
    <row r="632" spans="1:9">
      <c r="A632" s="6">
        <v>44849</v>
      </c>
      <c r="B632" t="s">
        <v>70</v>
      </c>
      <c r="C632" t="s">
        <v>71</v>
      </c>
      <c r="F632">
        <v>0</v>
      </c>
      <c r="G632">
        <v>0</v>
      </c>
      <c r="H632">
        <v>0.5</v>
      </c>
      <c r="I632">
        <v>0</v>
      </c>
    </row>
    <row r="633" spans="1:9">
      <c r="A633" s="6">
        <v>44835</v>
      </c>
      <c r="B633" t="s">
        <v>82</v>
      </c>
      <c r="C633" t="s">
        <v>83</v>
      </c>
      <c r="E633" t="s">
        <v>824</v>
      </c>
      <c r="F633">
        <v>0</v>
      </c>
      <c r="G633">
        <v>0</v>
      </c>
      <c r="H633">
        <v>4.5</v>
      </c>
      <c r="I633">
        <v>26</v>
      </c>
    </row>
    <row r="634" spans="1:9">
      <c r="A634" s="6">
        <v>44837</v>
      </c>
      <c r="B634" t="s">
        <v>82</v>
      </c>
      <c r="C634" t="s">
        <v>83</v>
      </c>
      <c r="E634" t="s">
        <v>825</v>
      </c>
      <c r="F634">
        <v>0</v>
      </c>
      <c r="G634">
        <v>0</v>
      </c>
      <c r="H634">
        <v>15.5</v>
      </c>
      <c r="I634">
        <v>53</v>
      </c>
    </row>
    <row r="635" spans="1:9">
      <c r="A635" s="6">
        <v>44838</v>
      </c>
      <c r="B635" t="s">
        <v>82</v>
      </c>
      <c r="C635" t="s">
        <v>83</v>
      </c>
      <c r="E635" t="s">
        <v>826</v>
      </c>
      <c r="F635">
        <v>0</v>
      </c>
      <c r="G635">
        <v>0</v>
      </c>
      <c r="H635">
        <v>4.4000000000000004</v>
      </c>
      <c r="I635">
        <v>36</v>
      </c>
    </row>
    <row r="636" spans="1:9">
      <c r="A636" s="6">
        <v>44839</v>
      </c>
      <c r="B636" t="s">
        <v>82</v>
      </c>
      <c r="C636" t="s">
        <v>83</v>
      </c>
      <c r="E636" t="s">
        <v>827</v>
      </c>
      <c r="F636">
        <v>2.0299999999999998</v>
      </c>
      <c r="G636">
        <v>200</v>
      </c>
      <c r="H636">
        <v>120</v>
      </c>
      <c r="I636">
        <v>130</v>
      </c>
    </row>
    <row r="637" spans="1:9">
      <c r="A637" s="6">
        <v>44840</v>
      </c>
      <c r="B637" t="s">
        <v>82</v>
      </c>
      <c r="C637" t="s">
        <v>83</v>
      </c>
      <c r="D637" t="s">
        <v>828</v>
      </c>
      <c r="F637">
        <v>0</v>
      </c>
      <c r="G637">
        <v>0</v>
      </c>
      <c r="H637">
        <v>11.8</v>
      </c>
      <c r="I637">
        <v>8</v>
      </c>
    </row>
    <row r="638" spans="1:9">
      <c r="A638" s="6">
        <v>44841</v>
      </c>
      <c r="B638" t="s">
        <v>82</v>
      </c>
      <c r="C638" t="s">
        <v>83</v>
      </c>
      <c r="E638" t="s">
        <v>829</v>
      </c>
      <c r="F638">
        <v>2.04</v>
      </c>
      <c r="G638">
        <v>200</v>
      </c>
      <c r="H638">
        <v>85.6</v>
      </c>
      <c r="I638">
        <v>104</v>
      </c>
    </row>
    <row r="639" spans="1:9">
      <c r="A639" s="6">
        <v>44842</v>
      </c>
      <c r="B639" t="s">
        <v>82</v>
      </c>
      <c r="C639" t="s">
        <v>83</v>
      </c>
      <c r="E639" t="s">
        <v>830</v>
      </c>
      <c r="F639">
        <v>2.04</v>
      </c>
      <c r="G639">
        <v>200</v>
      </c>
      <c r="H639">
        <v>50.3</v>
      </c>
      <c r="I639">
        <v>0</v>
      </c>
    </row>
    <row r="640" spans="1:9">
      <c r="A640" s="6">
        <v>44844</v>
      </c>
      <c r="B640" t="s">
        <v>82</v>
      </c>
      <c r="C640" t="s">
        <v>83</v>
      </c>
      <c r="E640" t="s">
        <v>831</v>
      </c>
      <c r="F640">
        <v>0</v>
      </c>
      <c r="G640">
        <v>0</v>
      </c>
      <c r="H640">
        <v>2.1</v>
      </c>
      <c r="I640">
        <v>38</v>
      </c>
    </row>
    <row r="641" spans="1:9">
      <c r="A641" s="6">
        <v>44845</v>
      </c>
      <c r="B641" t="s">
        <v>82</v>
      </c>
      <c r="C641" t="s">
        <v>83</v>
      </c>
      <c r="E641" t="s">
        <v>832</v>
      </c>
      <c r="F641">
        <v>2.0299999999999998</v>
      </c>
      <c r="G641">
        <v>200</v>
      </c>
      <c r="H641">
        <v>3.4</v>
      </c>
      <c r="I641">
        <v>25</v>
      </c>
    </row>
    <row r="642" spans="1:9">
      <c r="A642" s="6">
        <v>44846</v>
      </c>
      <c r="B642" t="s">
        <v>82</v>
      </c>
      <c r="C642" t="s">
        <v>83</v>
      </c>
      <c r="E642" t="s">
        <v>833</v>
      </c>
      <c r="F642">
        <v>0</v>
      </c>
      <c r="G642">
        <v>0</v>
      </c>
      <c r="H642">
        <v>3.2</v>
      </c>
      <c r="I642">
        <v>48</v>
      </c>
    </row>
    <row r="643" spans="1:9">
      <c r="A643" s="6">
        <v>44847</v>
      </c>
      <c r="B643" t="s">
        <v>82</v>
      </c>
      <c r="C643" t="s">
        <v>83</v>
      </c>
      <c r="E643" t="s">
        <v>834</v>
      </c>
      <c r="F643">
        <v>0</v>
      </c>
      <c r="G643">
        <v>0</v>
      </c>
      <c r="H643">
        <v>41.3</v>
      </c>
      <c r="I643">
        <v>73</v>
      </c>
    </row>
    <row r="644" spans="1:9">
      <c r="A644" s="6">
        <v>44848</v>
      </c>
      <c r="B644" t="s">
        <v>82</v>
      </c>
      <c r="C644" t="s">
        <v>83</v>
      </c>
      <c r="E644" t="s">
        <v>835</v>
      </c>
      <c r="F644">
        <v>4.0599999999999996</v>
      </c>
      <c r="G644">
        <v>400</v>
      </c>
      <c r="H644">
        <v>9.1999999999999993</v>
      </c>
      <c r="I644">
        <v>45</v>
      </c>
    </row>
    <row r="645" spans="1:9">
      <c r="A645" s="6">
        <v>44849</v>
      </c>
      <c r="B645" t="s">
        <v>82</v>
      </c>
      <c r="C645" t="s">
        <v>83</v>
      </c>
      <c r="E645" t="s">
        <v>836</v>
      </c>
      <c r="F645">
        <v>0</v>
      </c>
      <c r="G645">
        <v>0</v>
      </c>
      <c r="H645">
        <v>9.6</v>
      </c>
      <c r="I645">
        <v>107</v>
      </c>
    </row>
    <row r="646" spans="1:9">
      <c r="A646" s="6">
        <v>44835</v>
      </c>
      <c r="B646" t="s">
        <v>837</v>
      </c>
      <c r="C646" t="s">
        <v>838</v>
      </c>
      <c r="F646">
        <v>0</v>
      </c>
      <c r="G646">
        <v>0</v>
      </c>
      <c r="H646">
        <v>0</v>
      </c>
      <c r="I646">
        <v>0</v>
      </c>
    </row>
    <row r="647" spans="1:9">
      <c r="A647" s="6">
        <v>44837</v>
      </c>
      <c r="B647" t="s">
        <v>837</v>
      </c>
      <c r="C647" t="s">
        <v>838</v>
      </c>
      <c r="F647">
        <v>0</v>
      </c>
      <c r="G647">
        <v>0</v>
      </c>
      <c r="H647">
        <v>1.6</v>
      </c>
      <c r="I647">
        <v>0</v>
      </c>
    </row>
    <row r="648" spans="1:9">
      <c r="A648" s="6">
        <v>44838</v>
      </c>
      <c r="B648" t="s">
        <v>837</v>
      </c>
      <c r="C648" t="s">
        <v>838</v>
      </c>
      <c r="F648">
        <v>0</v>
      </c>
      <c r="G648">
        <v>0</v>
      </c>
      <c r="H648">
        <v>0</v>
      </c>
      <c r="I648">
        <v>0</v>
      </c>
    </row>
    <row r="649" spans="1:9">
      <c r="A649" s="6">
        <v>44840</v>
      </c>
      <c r="B649" t="s">
        <v>837</v>
      </c>
      <c r="C649" t="s">
        <v>838</v>
      </c>
      <c r="D649" t="s">
        <v>839</v>
      </c>
      <c r="F649">
        <v>0</v>
      </c>
      <c r="G649">
        <v>0</v>
      </c>
      <c r="H649">
        <v>60.4</v>
      </c>
      <c r="I649">
        <v>176</v>
      </c>
    </row>
    <row r="650" spans="1:9">
      <c r="A650" s="6">
        <v>44841</v>
      </c>
      <c r="B650" t="s">
        <v>837</v>
      </c>
      <c r="C650" t="s">
        <v>838</v>
      </c>
      <c r="F650">
        <v>0</v>
      </c>
      <c r="G650">
        <v>0</v>
      </c>
      <c r="H650">
        <v>0</v>
      </c>
      <c r="I650">
        <v>0</v>
      </c>
    </row>
    <row r="651" spans="1:9">
      <c r="A651" s="6">
        <v>44842</v>
      </c>
      <c r="B651" t="s">
        <v>837</v>
      </c>
      <c r="C651" t="s">
        <v>838</v>
      </c>
      <c r="F651">
        <v>0</v>
      </c>
      <c r="G651">
        <v>0</v>
      </c>
      <c r="H651">
        <v>0</v>
      </c>
      <c r="I651">
        <v>0</v>
      </c>
    </row>
    <row r="652" spans="1:9">
      <c r="A652" s="6">
        <v>44843</v>
      </c>
      <c r="B652" t="s">
        <v>837</v>
      </c>
      <c r="C652" t="s">
        <v>838</v>
      </c>
      <c r="D652" t="s">
        <v>840</v>
      </c>
      <c r="F652">
        <v>26.91</v>
      </c>
      <c r="G652">
        <v>3000</v>
      </c>
      <c r="H652">
        <v>13.5</v>
      </c>
      <c r="I652">
        <v>15</v>
      </c>
    </row>
    <row r="653" spans="1:9">
      <c r="A653" s="6">
        <v>44844</v>
      </c>
      <c r="B653" t="s">
        <v>837</v>
      </c>
      <c r="C653" t="s">
        <v>838</v>
      </c>
      <c r="D653" t="s">
        <v>841</v>
      </c>
      <c r="F653">
        <v>0</v>
      </c>
      <c r="G653">
        <v>0</v>
      </c>
      <c r="H653">
        <v>319.7</v>
      </c>
      <c r="I653">
        <v>400</v>
      </c>
    </row>
    <row r="654" spans="1:9">
      <c r="A654" s="6">
        <v>44845</v>
      </c>
      <c r="B654" t="s">
        <v>837</v>
      </c>
      <c r="C654" t="s">
        <v>838</v>
      </c>
      <c r="F654">
        <v>0</v>
      </c>
      <c r="G654">
        <v>0</v>
      </c>
      <c r="H654">
        <v>0</v>
      </c>
      <c r="I654">
        <v>0</v>
      </c>
    </row>
    <row r="655" spans="1:9">
      <c r="A655" s="6">
        <v>44846</v>
      </c>
      <c r="B655" t="s">
        <v>837</v>
      </c>
      <c r="C655" t="s">
        <v>838</v>
      </c>
      <c r="F655">
        <v>0</v>
      </c>
      <c r="G655">
        <v>0</v>
      </c>
      <c r="H655">
        <v>0</v>
      </c>
      <c r="I655">
        <v>0</v>
      </c>
    </row>
    <row r="656" spans="1:9">
      <c r="A656" s="6">
        <v>44847</v>
      </c>
      <c r="B656" t="s">
        <v>837</v>
      </c>
      <c r="C656" t="s">
        <v>838</v>
      </c>
      <c r="D656" t="s">
        <v>842</v>
      </c>
      <c r="F656">
        <v>27.23</v>
      </c>
      <c r="G656">
        <v>3000</v>
      </c>
      <c r="H656">
        <v>225.1</v>
      </c>
      <c r="I656">
        <v>227</v>
      </c>
    </row>
    <row r="657" spans="1:9">
      <c r="A657" s="6">
        <v>44848</v>
      </c>
      <c r="B657" t="s">
        <v>837</v>
      </c>
      <c r="C657" t="s">
        <v>838</v>
      </c>
      <c r="D657" t="s">
        <v>843</v>
      </c>
      <c r="F657">
        <v>0</v>
      </c>
      <c r="G657">
        <v>0</v>
      </c>
      <c r="H657">
        <v>109.4</v>
      </c>
      <c r="I657">
        <v>162</v>
      </c>
    </row>
    <row r="658" spans="1:9">
      <c r="A658" s="6">
        <v>44849</v>
      </c>
      <c r="B658" t="s">
        <v>837</v>
      </c>
      <c r="C658" t="s">
        <v>838</v>
      </c>
      <c r="D658" t="s">
        <v>844</v>
      </c>
      <c r="F658">
        <v>18.309999999999999</v>
      </c>
      <c r="G658">
        <v>2008</v>
      </c>
      <c r="H658">
        <v>336</v>
      </c>
      <c r="I658">
        <v>385</v>
      </c>
    </row>
    <row r="659" spans="1:9">
      <c r="A659" s="6">
        <v>44835</v>
      </c>
      <c r="B659" t="s">
        <v>244</v>
      </c>
      <c r="C659" t="s">
        <v>245</v>
      </c>
      <c r="F659">
        <v>0</v>
      </c>
      <c r="G659">
        <v>0</v>
      </c>
      <c r="H659">
        <v>13</v>
      </c>
      <c r="I659">
        <v>0</v>
      </c>
    </row>
    <row r="660" spans="1:9">
      <c r="A660" s="6">
        <v>44837</v>
      </c>
      <c r="B660" t="s">
        <v>244</v>
      </c>
      <c r="C660" t="s">
        <v>245</v>
      </c>
      <c r="F660">
        <v>0</v>
      </c>
      <c r="G660">
        <v>0</v>
      </c>
      <c r="H660">
        <v>19.8</v>
      </c>
      <c r="I660">
        <v>0</v>
      </c>
    </row>
    <row r="661" spans="1:9">
      <c r="A661" s="6">
        <v>44838</v>
      </c>
      <c r="B661" t="s">
        <v>244</v>
      </c>
      <c r="C661" t="s">
        <v>245</v>
      </c>
      <c r="F661">
        <v>0</v>
      </c>
      <c r="G661">
        <v>0</v>
      </c>
      <c r="H661">
        <v>108.8</v>
      </c>
      <c r="I661">
        <v>0</v>
      </c>
    </row>
    <row r="662" spans="1:9">
      <c r="A662" s="6">
        <v>44840</v>
      </c>
      <c r="B662" t="s">
        <v>244</v>
      </c>
      <c r="C662" t="s">
        <v>245</v>
      </c>
      <c r="F662">
        <v>0</v>
      </c>
      <c r="G662">
        <v>0</v>
      </c>
      <c r="H662">
        <v>80</v>
      </c>
      <c r="I662">
        <v>0</v>
      </c>
    </row>
    <row r="663" spans="1:9">
      <c r="A663" s="6">
        <v>44841</v>
      </c>
      <c r="B663" t="s">
        <v>244</v>
      </c>
      <c r="C663" t="s">
        <v>245</v>
      </c>
      <c r="F663">
        <v>0</v>
      </c>
      <c r="G663">
        <v>0</v>
      </c>
      <c r="H663">
        <v>65.599999999999994</v>
      </c>
      <c r="I663">
        <v>0</v>
      </c>
    </row>
    <row r="664" spans="1:9">
      <c r="A664" s="6">
        <v>44842</v>
      </c>
      <c r="B664" t="s">
        <v>244</v>
      </c>
      <c r="C664" t="s">
        <v>245</v>
      </c>
      <c r="F664">
        <v>0</v>
      </c>
      <c r="G664">
        <v>0</v>
      </c>
      <c r="H664">
        <v>0</v>
      </c>
      <c r="I664">
        <v>0</v>
      </c>
    </row>
    <row r="665" spans="1:9">
      <c r="A665" s="6">
        <v>44844</v>
      </c>
      <c r="B665" t="s">
        <v>244</v>
      </c>
      <c r="C665" t="s">
        <v>245</v>
      </c>
      <c r="F665">
        <v>0</v>
      </c>
      <c r="G665">
        <v>0</v>
      </c>
      <c r="H665">
        <v>38</v>
      </c>
      <c r="I665">
        <v>0</v>
      </c>
    </row>
    <row r="666" spans="1:9">
      <c r="A666" s="6">
        <v>44845</v>
      </c>
      <c r="B666" t="s">
        <v>244</v>
      </c>
      <c r="C666" t="s">
        <v>245</v>
      </c>
      <c r="F666">
        <v>0</v>
      </c>
      <c r="G666">
        <v>0</v>
      </c>
      <c r="H666">
        <v>22</v>
      </c>
      <c r="I666">
        <v>0</v>
      </c>
    </row>
    <row r="667" spans="1:9">
      <c r="A667" s="6">
        <v>44846</v>
      </c>
      <c r="B667" t="s">
        <v>244</v>
      </c>
      <c r="C667" t="s">
        <v>245</v>
      </c>
      <c r="F667">
        <v>0</v>
      </c>
      <c r="G667">
        <v>0</v>
      </c>
      <c r="H667">
        <v>109.3</v>
      </c>
      <c r="I667">
        <v>0</v>
      </c>
    </row>
    <row r="668" spans="1:9">
      <c r="A668" s="6">
        <v>44847</v>
      </c>
      <c r="B668" t="s">
        <v>244</v>
      </c>
      <c r="C668" t="s">
        <v>245</v>
      </c>
      <c r="F668">
        <v>0</v>
      </c>
      <c r="G668">
        <v>0</v>
      </c>
      <c r="H668">
        <v>25.3</v>
      </c>
      <c r="I668">
        <v>0</v>
      </c>
    </row>
    <row r="669" spans="1:9">
      <c r="A669" s="6">
        <v>44848</v>
      </c>
      <c r="B669" t="s">
        <v>244</v>
      </c>
      <c r="C669" t="s">
        <v>245</v>
      </c>
      <c r="F669">
        <v>0</v>
      </c>
      <c r="G669">
        <v>0</v>
      </c>
      <c r="H669">
        <v>100.5</v>
      </c>
      <c r="I669">
        <v>0</v>
      </c>
    </row>
    <row r="670" spans="1:9">
      <c r="A670" s="6">
        <v>44849</v>
      </c>
      <c r="B670" t="s">
        <v>244</v>
      </c>
      <c r="C670" t="s">
        <v>245</v>
      </c>
      <c r="F670">
        <v>0</v>
      </c>
      <c r="G670">
        <v>0</v>
      </c>
      <c r="H670">
        <v>0.2</v>
      </c>
      <c r="I670">
        <v>0</v>
      </c>
    </row>
    <row r="671" spans="1:9">
      <c r="A671" s="6">
        <v>44835</v>
      </c>
      <c r="B671" t="s">
        <v>845</v>
      </c>
      <c r="C671" t="s">
        <v>846</v>
      </c>
      <c r="E671" t="s">
        <v>847</v>
      </c>
      <c r="F671">
        <v>0</v>
      </c>
      <c r="G671">
        <v>0</v>
      </c>
      <c r="H671">
        <v>0.9</v>
      </c>
      <c r="I671">
        <v>6</v>
      </c>
    </row>
    <row r="672" spans="1:9">
      <c r="A672" s="6">
        <v>44837</v>
      </c>
      <c r="B672" t="s">
        <v>845</v>
      </c>
      <c r="C672" t="s">
        <v>846</v>
      </c>
      <c r="E672" t="s">
        <v>848</v>
      </c>
      <c r="F672">
        <v>3</v>
      </c>
      <c r="G672">
        <v>320</v>
      </c>
      <c r="H672">
        <v>59</v>
      </c>
      <c r="I672">
        <v>67</v>
      </c>
    </row>
    <row r="673" spans="1:9">
      <c r="A673" s="6">
        <v>44838</v>
      </c>
      <c r="B673" t="s">
        <v>845</v>
      </c>
      <c r="C673" t="s">
        <v>846</v>
      </c>
      <c r="E673" t="s">
        <v>849</v>
      </c>
      <c r="F673">
        <v>0</v>
      </c>
      <c r="G673">
        <v>0</v>
      </c>
      <c r="H673">
        <v>33.299999999999997</v>
      </c>
      <c r="I673">
        <v>25</v>
      </c>
    </row>
    <row r="674" spans="1:9">
      <c r="A674" s="6">
        <v>44840</v>
      </c>
      <c r="B674" t="s">
        <v>845</v>
      </c>
      <c r="C674" t="s">
        <v>846</v>
      </c>
      <c r="E674" t="s">
        <v>850</v>
      </c>
      <c r="F674">
        <v>0</v>
      </c>
      <c r="G674">
        <v>0</v>
      </c>
      <c r="H674">
        <v>13.8</v>
      </c>
      <c r="I674">
        <v>16</v>
      </c>
    </row>
    <row r="675" spans="1:9">
      <c r="A675" s="6">
        <v>44841</v>
      </c>
      <c r="B675" t="s">
        <v>845</v>
      </c>
      <c r="C675" t="s">
        <v>846</v>
      </c>
      <c r="E675" t="s">
        <v>851</v>
      </c>
      <c r="F675">
        <v>0</v>
      </c>
      <c r="G675">
        <v>0</v>
      </c>
      <c r="H675">
        <v>1.4</v>
      </c>
      <c r="I675">
        <v>11</v>
      </c>
    </row>
    <row r="676" spans="1:9">
      <c r="A676" s="6">
        <v>44842</v>
      </c>
      <c r="B676" t="s">
        <v>845</v>
      </c>
      <c r="C676" t="s">
        <v>846</v>
      </c>
      <c r="E676" t="s">
        <v>852</v>
      </c>
      <c r="F676">
        <v>3</v>
      </c>
      <c r="G676">
        <v>320</v>
      </c>
      <c r="H676">
        <v>97</v>
      </c>
      <c r="I676">
        <v>110</v>
      </c>
    </row>
    <row r="677" spans="1:9">
      <c r="A677" s="6">
        <v>44844</v>
      </c>
      <c r="B677" t="s">
        <v>845</v>
      </c>
      <c r="C677" t="s">
        <v>846</v>
      </c>
      <c r="E677" t="s">
        <v>853</v>
      </c>
      <c r="F677">
        <v>1.87</v>
      </c>
      <c r="G677">
        <v>200</v>
      </c>
      <c r="H677">
        <v>31.8</v>
      </c>
      <c r="I677">
        <v>35</v>
      </c>
    </row>
    <row r="678" spans="1:9">
      <c r="A678" s="6">
        <v>44845</v>
      </c>
      <c r="B678" t="s">
        <v>845</v>
      </c>
      <c r="C678" t="s">
        <v>846</v>
      </c>
      <c r="E678" t="s">
        <v>854</v>
      </c>
      <c r="F678">
        <v>0</v>
      </c>
      <c r="G678">
        <v>0</v>
      </c>
      <c r="H678">
        <v>80</v>
      </c>
      <c r="I678">
        <v>2</v>
      </c>
    </row>
    <row r="679" spans="1:9">
      <c r="A679" s="6">
        <v>44846</v>
      </c>
      <c r="B679" t="s">
        <v>845</v>
      </c>
      <c r="C679" t="s">
        <v>846</v>
      </c>
      <c r="E679" t="s">
        <v>855</v>
      </c>
      <c r="F679">
        <v>0</v>
      </c>
      <c r="G679">
        <v>0</v>
      </c>
      <c r="H679">
        <v>46.3</v>
      </c>
      <c r="I679">
        <v>35</v>
      </c>
    </row>
    <row r="680" spans="1:9">
      <c r="A680" s="6">
        <v>44848</v>
      </c>
      <c r="B680" t="s">
        <v>845</v>
      </c>
      <c r="C680" t="s">
        <v>846</v>
      </c>
      <c r="E680" t="s">
        <v>856</v>
      </c>
      <c r="F680">
        <v>0</v>
      </c>
      <c r="G680">
        <v>0</v>
      </c>
      <c r="H680">
        <v>1.2</v>
      </c>
      <c r="I680">
        <v>5</v>
      </c>
    </row>
    <row r="681" spans="1:9">
      <c r="A681" s="6">
        <v>44849</v>
      </c>
      <c r="B681" t="s">
        <v>845</v>
      </c>
      <c r="C681" t="s">
        <v>846</v>
      </c>
      <c r="E681" t="s">
        <v>857</v>
      </c>
      <c r="F681">
        <v>0</v>
      </c>
      <c r="G681">
        <v>0</v>
      </c>
      <c r="H681">
        <v>9.1</v>
      </c>
      <c r="I681">
        <v>11</v>
      </c>
    </row>
    <row r="682" spans="1:9">
      <c r="A682" s="6">
        <v>44835</v>
      </c>
      <c r="B682" t="s">
        <v>858</v>
      </c>
      <c r="C682" t="s">
        <v>859</v>
      </c>
      <c r="D682" t="s">
        <v>860</v>
      </c>
      <c r="F682">
        <v>0</v>
      </c>
      <c r="G682">
        <v>0</v>
      </c>
      <c r="H682">
        <v>9.6</v>
      </c>
      <c r="I682">
        <v>14</v>
      </c>
    </row>
    <row r="683" spans="1:9">
      <c r="A683" s="6">
        <v>44837</v>
      </c>
      <c r="B683" t="s">
        <v>858</v>
      </c>
      <c r="C683" t="s">
        <v>859</v>
      </c>
      <c r="D683" t="s">
        <v>861</v>
      </c>
      <c r="F683">
        <v>0</v>
      </c>
      <c r="G683">
        <v>0</v>
      </c>
      <c r="H683">
        <v>8.1999999999999993</v>
      </c>
      <c r="I683">
        <v>24</v>
      </c>
    </row>
    <row r="684" spans="1:9">
      <c r="A684" s="6">
        <v>44838</v>
      </c>
      <c r="B684" t="s">
        <v>858</v>
      </c>
      <c r="C684" t="s">
        <v>859</v>
      </c>
      <c r="D684" t="s">
        <v>862</v>
      </c>
      <c r="F684">
        <v>0</v>
      </c>
      <c r="G684">
        <v>0</v>
      </c>
      <c r="H684">
        <v>8.1999999999999993</v>
      </c>
      <c r="I684">
        <v>10</v>
      </c>
    </row>
    <row r="685" spans="1:9">
      <c r="A685" s="6">
        <v>44839</v>
      </c>
      <c r="B685" t="s">
        <v>858</v>
      </c>
      <c r="C685" t="s">
        <v>859</v>
      </c>
      <c r="D685" t="s">
        <v>863</v>
      </c>
      <c r="F685">
        <v>0</v>
      </c>
      <c r="G685">
        <v>0</v>
      </c>
      <c r="H685">
        <v>17.8</v>
      </c>
      <c r="I685">
        <v>32</v>
      </c>
    </row>
    <row r="686" spans="1:9">
      <c r="A686" s="6">
        <v>44840</v>
      </c>
      <c r="B686" t="s">
        <v>858</v>
      </c>
      <c r="C686" t="s">
        <v>859</v>
      </c>
      <c r="D686" t="s">
        <v>864</v>
      </c>
      <c r="F686">
        <v>0</v>
      </c>
      <c r="G686">
        <v>0</v>
      </c>
      <c r="H686">
        <v>9.1</v>
      </c>
      <c r="I686">
        <v>10</v>
      </c>
    </row>
    <row r="687" spans="1:9">
      <c r="A687" s="6">
        <v>44841</v>
      </c>
      <c r="B687" t="s">
        <v>858</v>
      </c>
      <c r="C687" t="s">
        <v>859</v>
      </c>
      <c r="D687" t="s">
        <v>865</v>
      </c>
      <c r="F687">
        <v>0</v>
      </c>
      <c r="G687">
        <v>0</v>
      </c>
      <c r="H687">
        <v>20.100000000000001</v>
      </c>
      <c r="I687">
        <v>25</v>
      </c>
    </row>
    <row r="688" spans="1:9">
      <c r="A688" s="6">
        <v>44842</v>
      </c>
      <c r="B688" t="s">
        <v>858</v>
      </c>
      <c r="C688" t="s">
        <v>859</v>
      </c>
      <c r="D688" t="s">
        <v>866</v>
      </c>
      <c r="F688">
        <v>5.99</v>
      </c>
      <c r="G688">
        <v>581</v>
      </c>
      <c r="H688">
        <v>8.4</v>
      </c>
      <c r="I688">
        <v>14</v>
      </c>
    </row>
    <row r="689" spans="1:9">
      <c r="A689" s="6">
        <v>44844</v>
      </c>
      <c r="B689" t="s">
        <v>858</v>
      </c>
      <c r="C689" t="s">
        <v>859</v>
      </c>
      <c r="D689" t="s">
        <v>867</v>
      </c>
      <c r="F689">
        <v>0</v>
      </c>
      <c r="G689">
        <v>0</v>
      </c>
      <c r="H689">
        <v>26.1</v>
      </c>
      <c r="I689">
        <v>26</v>
      </c>
    </row>
    <row r="690" spans="1:9">
      <c r="A690" s="6">
        <v>44845</v>
      </c>
      <c r="B690" t="s">
        <v>858</v>
      </c>
      <c r="C690" t="s">
        <v>859</v>
      </c>
      <c r="D690" t="s">
        <v>868</v>
      </c>
      <c r="F690">
        <v>0</v>
      </c>
      <c r="G690">
        <v>0</v>
      </c>
      <c r="H690">
        <v>66.599999999999994</v>
      </c>
      <c r="I690">
        <v>136</v>
      </c>
    </row>
    <row r="691" spans="1:9">
      <c r="A691" s="6">
        <v>44846</v>
      </c>
      <c r="B691" t="s">
        <v>858</v>
      </c>
      <c r="C691" t="s">
        <v>859</v>
      </c>
      <c r="D691" t="s">
        <v>869</v>
      </c>
      <c r="F691">
        <v>0</v>
      </c>
      <c r="G691">
        <v>0</v>
      </c>
      <c r="H691">
        <v>12.9</v>
      </c>
      <c r="I691">
        <v>21</v>
      </c>
    </row>
    <row r="692" spans="1:9">
      <c r="A692" s="6">
        <v>44847</v>
      </c>
      <c r="B692" t="s">
        <v>858</v>
      </c>
      <c r="C692" t="s">
        <v>859</v>
      </c>
      <c r="D692" t="s">
        <v>870</v>
      </c>
      <c r="F692">
        <v>0</v>
      </c>
      <c r="G692">
        <v>0</v>
      </c>
      <c r="H692">
        <v>22.1</v>
      </c>
      <c r="I692">
        <v>23</v>
      </c>
    </row>
    <row r="693" spans="1:9">
      <c r="A693" s="6">
        <v>44848</v>
      </c>
      <c r="B693" t="s">
        <v>858</v>
      </c>
      <c r="C693" t="s">
        <v>859</v>
      </c>
      <c r="D693" t="s">
        <v>871</v>
      </c>
      <c r="F693">
        <v>0</v>
      </c>
      <c r="G693">
        <v>0</v>
      </c>
      <c r="H693">
        <v>35.5</v>
      </c>
      <c r="I693">
        <v>51</v>
      </c>
    </row>
    <row r="694" spans="1:9">
      <c r="A694" s="6">
        <v>44849</v>
      </c>
      <c r="B694" t="s">
        <v>858</v>
      </c>
      <c r="C694" t="s">
        <v>859</v>
      </c>
      <c r="D694" t="s">
        <v>872</v>
      </c>
      <c r="F694">
        <v>6.28</v>
      </c>
      <c r="G694">
        <v>610</v>
      </c>
      <c r="H694">
        <v>27.9</v>
      </c>
      <c r="I694">
        <v>28</v>
      </c>
    </row>
    <row r="695" spans="1:9">
      <c r="A695" s="6">
        <v>44835</v>
      </c>
      <c r="B695" t="s">
        <v>72</v>
      </c>
      <c r="C695" t="s">
        <v>73</v>
      </c>
      <c r="E695" t="s">
        <v>873</v>
      </c>
      <c r="F695">
        <v>5.16</v>
      </c>
      <c r="G695">
        <v>500</v>
      </c>
      <c r="H695">
        <v>36</v>
      </c>
      <c r="I695">
        <v>49</v>
      </c>
    </row>
    <row r="696" spans="1:9">
      <c r="A696" s="6">
        <v>44837</v>
      </c>
      <c r="B696" t="s">
        <v>72</v>
      </c>
      <c r="C696" t="s">
        <v>73</v>
      </c>
      <c r="E696" t="s">
        <v>874</v>
      </c>
      <c r="F696">
        <v>0</v>
      </c>
      <c r="G696">
        <v>0</v>
      </c>
      <c r="H696">
        <v>39</v>
      </c>
      <c r="I696">
        <v>43</v>
      </c>
    </row>
    <row r="697" spans="1:9">
      <c r="A697" s="6">
        <v>44838</v>
      </c>
      <c r="B697" t="s">
        <v>72</v>
      </c>
      <c r="C697" t="s">
        <v>73</v>
      </c>
      <c r="E697" t="s">
        <v>875</v>
      </c>
      <c r="F697">
        <v>0</v>
      </c>
      <c r="G697">
        <v>0</v>
      </c>
      <c r="H697">
        <v>40.6</v>
      </c>
      <c r="I697">
        <v>42</v>
      </c>
    </row>
    <row r="698" spans="1:9">
      <c r="A698" s="6">
        <v>44839</v>
      </c>
      <c r="B698" t="s">
        <v>72</v>
      </c>
      <c r="C698" t="s">
        <v>73</v>
      </c>
      <c r="E698" t="s">
        <v>876</v>
      </c>
      <c r="F698">
        <v>0</v>
      </c>
      <c r="G698">
        <v>0</v>
      </c>
      <c r="H698">
        <v>37.4</v>
      </c>
      <c r="I698">
        <v>46</v>
      </c>
    </row>
    <row r="699" spans="1:9">
      <c r="A699" s="6">
        <v>44840</v>
      </c>
      <c r="B699" t="s">
        <v>72</v>
      </c>
      <c r="C699" t="s">
        <v>73</v>
      </c>
      <c r="E699" t="s">
        <v>877</v>
      </c>
      <c r="F699">
        <v>0</v>
      </c>
      <c r="G699">
        <v>0</v>
      </c>
      <c r="H699">
        <v>41.6</v>
      </c>
      <c r="I699">
        <v>45</v>
      </c>
    </row>
    <row r="700" spans="1:9">
      <c r="A700" s="6">
        <v>44841</v>
      </c>
      <c r="B700" t="s">
        <v>72</v>
      </c>
      <c r="C700" t="s">
        <v>73</v>
      </c>
      <c r="E700" t="s">
        <v>878</v>
      </c>
      <c r="F700">
        <v>5.16</v>
      </c>
      <c r="G700">
        <v>500</v>
      </c>
      <c r="H700">
        <v>37.4</v>
      </c>
      <c r="I700">
        <v>41</v>
      </c>
    </row>
    <row r="701" spans="1:9">
      <c r="A701" s="6">
        <v>44842</v>
      </c>
      <c r="B701" t="s">
        <v>72</v>
      </c>
      <c r="C701" t="s">
        <v>73</v>
      </c>
      <c r="E701" t="s">
        <v>879</v>
      </c>
      <c r="F701">
        <v>0</v>
      </c>
      <c r="G701">
        <v>0</v>
      </c>
      <c r="H701">
        <v>38.4</v>
      </c>
      <c r="I701">
        <v>43</v>
      </c>
    </row>
    <row r="702" spans="1:9">
      <c r="A702" s="6">
        <v>44844</v>
      </c>
      <c r="B702" t="s">
        <v>72</v>
      </c>
      <c r="C702" t="s">
        <v>73</v>
      </c>
      <c r="E702" t="s">
        <v>880</v>
      </c>
      <c r="F702">
        <v>0</v>
      </c>
      <c r="G702">
        <v>0</v>
      </c>
      <c r="H702">
        <v>41.8</v>
      </c>
      <c r="I702">
        <v>38</v>
      </c>
    </row>
    <row r="703" spans="1:9">
      <c r="A703" s="6">
        <v>44845</v>
      </c>
      <c r="B703" t="s">
        <v>72</v>
      </c>
      <c r="C703" t="s">
        <v>73</v>
      </c>
      <c r="E703" t="s">
        <v>881</v>
      </c>
      <c r="F703">
        <v>0</v>
      </c>
      <c r="G703">
        <v>0</v>
      </c>
      <c r="H703">
        <v>21.6</v>
      </c>
      <c r="I703">
        <v>33</v>
      </c>
    </row>
    <row r="704" spans="1:9">
      <c r="A704" s="6">
        <v>44846</v>
      </c>
      <c r="B704" t="s">
        <v>72</v>
      </c>
      <c r="C704" t="s">
        <v>73</v>
      </c>
      <c r="E704" t="s">
        <v>882</v>
      </c>
      <c r="F704">
        <v>0</v>
      </c>
      <c r="G704">
        <v>0</v>
      </c>
      <c r="H704">
        <v>37.6</v>
      </c>
      <c r="I704">
        <v>46</v>
      </c>
    </row>
    <row r="705" spans="1:9">
      <c r="A705" s="6">
        <v>44847</v>
      </c>
      <c r="B705" t="s">
        <v>72</v>
      </c>
      <c r="C705" t="s">
        <v>73</v>
      </c>
      <c r="E705" t="s">
        <v>883</v>
      </c>
      <c r="F705">
        <v>0</v>
      </c>
      <c r="G705">
        <v>0</v>
      </c>
      <c r="H705">
        <v>42</v>
      </c>
      <c r="I705">
        <v>46</v>
      </c>
    </row>
    <row r="706" spans="1:9">
      <c r="A706" s="6">
        <v>44849</v>
      </c>
      <c r="B706" t="s">
        <v>72</v>
      </c>
      <c r="C706" t="s">
        <v>73</v>
      </c>
      <c r="E706" t="s">
        <v>884</v>
      </c>
      <c r="F706">
        <v>1.03</v>
      </c>
      <c r="G706">
        <v>100</v>
      </c>
      <c r="H706">
        <v>21.6</v>
      </c>
      <c r="I706">
        <v>15</v>
      </c>
    </row>
    <row r="707" spans="1:9">
      <c r="A707" s="6">
        <v>44845</v>
      </c>
      <c r="B707" t="s">
        <v>885</v>
      </c>
      <c r="C707" t="s">
        <v>886</v>
      </c>
      <c r="D707" t="s">
        <v>887</v>
      </c>
      <c r="F707">
        <v>1.41</v>
      </c>
      <c r="G707">
        <v>150</v>
      </c>
      <c r="H707">
        <v>64.7</v>
      </c>
      <c r="I707">
        <v>55</v>
      </c>
    </row>
    <row r="708" spans="1:9">
      <c r="A708" s="6">
        <v>44846</v>
      </c>
      <c r="B708" t="s">
        <v>885</v>
      </c>
      <c r="C708" t="s">
        <v>886</v>
      </c>
      <c r="E708" t="s">
        <v>888</v>
      </c>
      <c r="F708">
        <v>1.51</v>
      </c>
      <c r="G708">
        <v>160</v>
      </c>
      <c r="H708">
        <v>84.9</v>
      </c>
      <c r="I708">
        <v>94</v>
      </c>
    </row>
    <row r="709" spans="1:9">
      <c r="A709" s="6">
        <v>44847</v>
      </c>
      <c r="B709" t="s">
        <v>885</v>
      </c>
      <c r="C709" t="s">
        <v>886</v>
      </c>
      <c r="E709" t="s">
        <v>889</v>
      </c>
      <c r="F709">
        <v>1.5</v>
      </c>
      <c r="G709">
        <v>160</v>
      </c>
      <c r="H709">
        <v>62.8</v>
      </c>
      <c r="I709">
        <v>79</v>
      </c>
    </row>
    <row r="710" spans="1:9">
      <c r="A710" s="6">
        <v>44848</v>
      </c>
      <c r="B710" t="s">
        <v>885</v>
      </c>
      <c r="C710" t="s">
        <v>886</v>
      </c>
      <c r="E710" t="s">
        <v>890</v>
      </c>
      <c r="F710">
        <v>0</v>
      </c>
      <c r="G710">
        <v>0</v>
      </c>
      <c r="H710">
        <v>33.4</v>
      </c>
      <c r="I710">
        <v>50</v>
      </c>
    </row>
    <row r="711" spans="1:9">
      <c r="A711" s="6">
        <v>44849</v>
      </c>
      <c r="B711" t="s">
        <v>885</v>
      </c>
      <c r="C711" t="s">
        <v>886</v>
      </c>
      <c r="E711" t="s">
        <v>891</v>
      </c>
      <c r="F711">
        <v>1</v>
      </c>
      <c r="G711">
        <v>106</v>
      </c>
      <c r="H711">
        <v>96.1</v>
      </c>
      <c r="I711">
        <v>111</v>
      </c>
    </row>
    <row r="712" spans="1:9">
      <c r="A712" s="6">
        <v>44835</v>
      </c>
      <c r="B712" t="s">
        <v>892</v>
      </c>
      <c r="C712" t="s">
        <v>893</v>
      </c>
      <c r="E712" t="s">
        <v>894</v>
      </c>
      <c r="F712">
        <v>38.549999999999997</v>
      </c>
      <c r="G712">
        <v>3728.56</v>
      </c>
      <c r="H712">
        <v>60.1</v>
      </c>
      <c r="I712">
        <v>64</v>
      </c>
    </row>
    <row r="713" spans="1:9">
      <c r="A713" s="6">
        <v>44837</v>
      </c>
      <c r="B713" t="s">
        <v>892</v>
      </c>
      <c r="C713" t="s">
        <v>893</v>
      </c>
      <c r="E713" t="s">
        <v>895</v>
      </c>
      <c r="F713">
        <v>0</v>
      </c>
      <c r="G713">
        <v>0</v>
      </c>
      <c r="H713">
        <v>128.19999999999999</v>
      </c>
      <c r="I713">
        <v>153</v>
      </c>
    </row>
    <row r="714" spans="1:9">
      <c r="A714" s="6">
        <v>44838</v>
      </c>
      <c r="B714" t="s">
        <v>892</v>
      </c>
      <c r="C714" t="s">
        <v>893</v>
      </c>
      <c r="E714" t="s">
        <v>896</v>
      </c>
      <c r="F714">
        <v>0</v>
      </c>
      <c r="G714">
        <v>0</v>
      </c>
      <c r="H714">
        <v>149.19999999999999</v>
      </c>
      <c r="I714">
        <v>215</v>
      </c>
    </row>
    <row r="715" spans="1:9">
      <c r="A715" s="6">
        <v>44839</v>
      </c>
      <c r="B715" t="s">
        <v>892</v>
      </c>
      <c r="C715" t="s">
        <v>893</v>
      </c>
      <c r="E715" t="s">
        <v>897</v>
      </c>
      <c r="F715">
        <v>0</v>
      </c>
      <c r="G715">
        <v>0</v>
      </c>
      <c r="H715">
        <v>173.6</v>
      </c>
      <c r="I715">
        <v>132</v>
      </c>
    </row>
    <row r="716" spans="1:9">
      <c r="A716" s="6">
        <v>44840</v>
      </c>
      <c r="B716" t="s">
        <v>892</v>
      </c>
      <c r="C716" t="s">
        <v>893</v>
      </c>
      <c r="E716" t="s">
        <v>898</v>
      </c>
      <c r="F716">
        <v>0</v>
      </c>
      <c r="G716">
        <v>0</v>
      </c>
      <c r="H716">
        <v>119.8</v>
      </c>
      <c r="I716">
        <v>133</v>
      </c>
    </row>
    <row r="717" spans="1:9">
      <c r="A717" s="6">
        <v>44841</v>
      </c>
      <c r="B717" t="s">
        <v>892</v>
      </c>
      <c r="C717" t="s">
        <v>893</v>
      </c>
      <c r="E717" t="s">
        <v>899</v>
      </c>
      <c r="F717">
        <v>43.2</v>
      </c>
      <c r="G717">
        <v>4183.92</v>
      </c>
      <c r="H717">
        <v>76.3</v>
      </c>
      <c r="I717">
        <v>78</v>
      </c>
    </row>
    <row r="718" spans="1:9">
      <c r="A718" s="6">
        <v>44842</v>
      </c>
      <c r="B718" t="s">
        <v>892</v>
      </c>
      <c r="C718" t="s">
        <v>893</v>
      </c>
      <c r="E718" t="s">
        <v>900</v>
      </c>
      <c r="F718">
        <v>0</v>
      </c>
      <c r="G718">
        <v>0</v>
      </c>
      <c r="H718">
        <v>84.4</v>
      </c>
      <c r="I718">
        <v>165</v>
      </c>
    </row>
    <row r="719" spans="1:9">
      <c r="A719" s="6">
        <v>44843</v>
      </c>
      <c r="B719" t="s">
        <v>892</v>
      </c>
      <c r="C719" t="s">
        <v>893</v>
      </c>
      <c r="E719" t="s">
        <v>901</v>
      </c>
      <c r="F719">
        <v>0</v>
      </c>
      <c r="G719">
        <v>0</v>
      </c>
      <c r="H719">
        <v>115.4</v>
      </c>
      <c r="I719">
        <v>133</v>
      </c>
    </row>
    <row r="720" spans="1:9">
      <c r="A720" s="6">
        <v>44844</v>
      </c>
      <c r="B720" t="s">
        <v>892</v>
      </c>
      <c r="C720" t="s">
        <v>893</v>
      </c>
      <c r="E720" t="s">
        <v>902</v>
      </c>
      <c r="F720">
        <v>0</v>
      </c>
      <c r="G720">
        <v>0</v>
      </c>
      <c r="H720">
        <v>34.9</v>
      </c>
      <c r="I720">
        <v>52</v>
      </c>
    </row>
    <row r="721" spans="1:9">
      <c r="A721" s="6">
        <v>44845</v>
      </c>
      <c r="B721" t="s">
        <v>892</v>
      </c>
      <c r="C721" t="s">
        <v>893</v>
      </c>
      <c r="E721" t="s">
        <v>903</v>
      </c>
      <c r="F721">
        <v>0</v>
      </c>
      <c r="G721">
        <v>0</v>
      </c>
      <c r="H721">
        <v>156.4</v>
      </c>
      <c r="I721">
        <v>168</v>
      </c>
    </row>
    <row r="722" spans="1:9">
      <c r="A722" s="6">
        <v>44846</v>
      </c>
      <c r="B722" t="s">
        <v>892</v>
      </c>
      <c r="C722" t="s">
        <v>893</v>
      </c>
      <c r="E722" t="s">
        <v>904</v>
      </c>
      <c r="F722">
        <v>44.52</v>
      </c>
      <c r="G722">
        <v>4447.1000000000004</v>
      </c>
      <c r="H722">
        <v>202.6</v>
      </c>
      <c r="I722">
        <v>211</v>
      </c>
    </row>
    <row r="723" spans="1:9">
      <c r="A723" s="6">
        <v>44847</v>
      </c>
      <c r="B723" t="s">
        <v>892</v>
      </c>
      <c r="C723" t="s">
        <v>893</v>
      </c>
      <c r="E723" t="s">
        <v>905</v>
      </c>
      <c r="F723">
        <v>0</v>
      </c>
      <c r="G723">
        <v>0</v>
      </c>
      <c r="H723">
        <v>212.3</v>
      </c>
      <c r="I723">
        <v>221</v>
      </c>
    </row>
    <row r="724" spans="1:9">
      <c r="A724" s="6">
        <v>44848</v>
      </c>
      <c r="B724" t="s">
        <v>892</v>
      </c>
      <c r="C724" t="s">
        <v>893</v>
      </c>
      <c r="E724" t="s">
        <v>906</v>
      </c>
      <c r="F724">
        <v>0</v>
      </c>
      <c r="G724">
        <v>0</v>
      </c>
      <c r="H724">
        <v>294.39999999999998</v>
      </c>
      <c r="I724">
        <v>315</v>
      </c>
    </row>
    <row r="725" spans="1:9">
      <c r="A725" s="6">
        <v>44849</v>
      </c>
      <c r="B725" t="s">
        <v>892</v>
      </c>
      <c r="C725" t="s">
        <v>893</v>
      </c>
      <c r="E725" t="s">
        <v>907</v>
      </c>
      <c r="F725">
        <v>0</v>
      </c>
      <c r="G725">
        <v>0</v>
      </c>
      <c r="H725">
        <v>76.099999999999994</v>
      </c>
      <c r="I725">
        <v>78</v>
      </c>
    </row>
    <row r="726" spans="1:9">
      <c r="A726" s="6">
        <v>44835</v>
      </c>
      <c r="B726" t="s">
        <v>37</v>
      </c>
      <c r="C726" t="s">
        <v>38</v>
      </c>
      <c r="E726" t="s">
        <v>908</v>
      </c>
      <c r="F726">
        <v>0</v>
      </c>
      <c r="G726">
        <v>0</v>
      </c>
      <c r="H726">
        <v>109</v>
      </c>
      <c r="I726">
        <v>142</v>
      </c>
    </row>
    <row r="727" spans="1:9">
      <c r="A727" s="6">
        <v>44837</v>
      </c>
      <c r="B727" t="s">
        <v>37</v>
      </c>
      <c r="C727" t="s">
        <v>38</v>
      </c>
      <c r="F727">
        <v>0</v>
      </c>
      <c r="G727">
        <v>0</v>
      </c>
      <c r="H727">
        <v>0</v>
      </c>
      <c r="I727">
        <v>0</v>
      </c>
    </row>
    <row r="728" spans="1:9">
      <c r="A728" s="6">
        <v>44838</v>
      </c>
      <c r="B728" t="s">
        <v>37</v>
      </c>
      <c r="C728" t="s">
        <v>38</v>
      </c>
      <c r="E728" t="s">
        <v>909</v>
      </c>
      <c r="F728">
        <v>10</v>
      </c>
      <c r="G728">
        <v>953.4</v>
      </c>
      <c r="H728">
        <v>44.9</v>
      </c>
      <c r="I728">
        <v>46</v>
      </c>
    </row>
    <row r="729" spans="1:9">
      <c r="A729" s="6">
        <v>44839</v>
      </c>
      <c r="B729" t="s">
        <v>37</v>
      </c>
      <c r="C729" t="s">
        <v>38</v>
      </c>
      <c r="E729" t="s">
        <v>910</v>
      </c>
      <c r="F729">
        <v>0</v>
      </c>
      <c r="G729">
        <v>0</v>
      </c>
      <c r="H729">
        <v>28.4</v>
      </c>
      <c r="I729">
        <v>65</v>
      </c>
    </row>
    <row r="730" spans="1:9">
      <c r="A730" s="6">
        <v>44840</v>
      </c>
      <c r="B730" t="s">
        <v>37</v>
      </c>
      <c r="C730" t="s">
        <v>38</v>
      </c>
      <c r="E730" t="s">
        <v>911</v>
      </c>
      <c r="F730">
        <v>0</v>
      </c>
      <c r="G730">
        <v>0</v>
      </c>
      <c r="H730">
        <v>65.400000000000006</v>
      </c>
      <c r="I730">
        <v>69</v>
      </c>
    </row>
    <row r="731" spans="1:9">
      <c r="A731" s="6">
        <v>44841</v>
      </c>
      <c r="B731" t="s">
        <v>37</v>
      </c>
      <c r="C731" t="s">
        <v>38</v>
      </c>
      <c r="E731" t="s">
        <v>912</v>
      </c>
      <c r="F731">
        <v>15</v>
      </c>
      <c r="G731">
        <v>1424.85</v>
      </c>
      <c r="H731">
        <v>106.2</v>
      </c>
      <c r="I731">
        <v>100</v>
      </c>
    </row>
    <row r="732" spans="1:9">
      <c r="A732" s="6">
        <v>44842</v>
      </c>
      <c r="B732" t="s">
        <v>37</v>
      </c>
      <c r="C732" t="s">
        <v>38</v>
      </c>
      <c r="E732" t="s">
        <v>913</v>
      </c>
      <c r="F732">
        <v>0</v>
      </c>
      <c r="G732">
        <v>0</v>
      </c>
      <c r="H732">
        <v>86.7</v>
      </c>
      <c r="I732">
        <v>93</v>
      </c>
    </row>
    <row r="733" spans="1:9">
      <c r="A733" s="6">
        <v>44844</v>
      </c>
      <c r="B733" t="s">
        <v>37</v>
      </c>
      <c r="C733" t="s">
        <v>38</v>
      </c>
      <c r="E733" t="s">
        <v>914</v>
      </c>
      <c r="F733">
        <v>15</v>
      </c>
      <c r="G733">
        <v>1430.1</v>
      </c>
      <c r="H733">
        <v>130.1</v>
      </c>
      <c r="I733">
        <v>160</v>
      </c>
    </row>
    <row r="734" spans="1:9">
      <c r="A734" s="6">
        <v>44845</v>
      </c>
      <c r="B734" t="s">
        <v>37</v>
      </c>
      <c r="C734" t="s">
        <v>38</v>
      </c>
      <c r="E734" t="s">
        <v>915</v>
      </c>
      <c r="F734">
        <v>15</v>
      </c>
      <c r="G734">
        <v>1430.1</v>
      </c>
      <c r="H734">
        <v>64.900000000000006</v>
      </c>
      <c r="I734">
        <v>69</v>
      </c>
    </row>
    <row r="735" spans="1:9">
      <c r="A735" s="6">
        <v>44846</v>
      </c>
      <c r="B735" t="s">
        <v>37</v>
      </c>
      <c r="C735" t="s">
        <v>38</v>
      </c>
      <c r="E735" t="s">
        <v>916</v>
      </c>
      <c r="F735">
        <v>0</v>
      </c>
      <c r="G735">
        <v>0</v>
      </c>
      <c r="H735">
        <v>137.69999999999999</v>
      </c>
      <c r="I735">
        <v>107</v>
      </c>
    </row>
    <row r="736" spans="1:9">
      <c r="A736" s="6">
        <v>44847</v>
      </c>
      <c r="B736" t="s">
        <v>37</v>
      </c>
      <c r="C736" t="s">
        <v>38</v>
      </c>
      <c r="E736" t="s">
        <v>917</v>
      </c>
      <c r="F736">
        <v>15</v>
      </c>
      <c r="G736">
        <v>1424.85</v>
      </c>
      <c r="H736">
        <v>80.400000000000006</v>
      </c>
      <c r="I736">
        <v>115</v>
      </c>
    </row>
    <row r="737" spans="1:9">
      <c r="A737" s="6">
        <v>44848</v>
      </c>
      <c r="B737" t="s">
        <v>37</v>
      </c>
      <c r="C737" t="s">
        <v>38</v>
      </c>
      <c r="E737" t="s">
        <v>918</v>
      </c>
      <c r="F737">
        <v>0</v>
      </c>
      <c r="G737">
        <v>0</v>
      </c>
      <c r="H737">
        <v>44.4</v>
      </c>
      <c r="I737">
        <v>50</v>
      </c>
    </row>
    <row r="738" spans="1:9">
      <c r="A738" s="6">
        <v>44849</v>
      </c>
      <c r="B738" t="s">
        <v>37</v>
      </c>
      <c r="C738" t="s">
        <v>38</v>
      </c>
      <c r="E738" t="s">
        <v>919</v>
      </c>
      <c r="F738">
        <v>0</v>
      </c>
      <c r="G738">
        <v>0</v>
      </c>
      <c r="H738">
        <v>4.9000000000000004</v>
      </c>
      <c r="I738">
        <v>14</v>
      </c>
    </row>
    <row r="739" spans="1:9">
      <c r="A739" s="6">
        <v>44835</v>
      </c>
      <c r="B739" t="s">
        <v>920</v>
      </c>
      <c r="C739" t="s">
        <v>921</v>
      </c>
      <c r="D739" t="s">
        <v>922</v>
      </c>
      <c r="F739">
        <v>0</v>
      </c>
      <c r="G739">
        <v>0</v>
      </c>
      <c r="H739">
        <v>5.4</v>
      </c>
      <c r="I739">
        <v>17</v>
      </c>
    </row>
    <row r="740" spans="1:9">
      <c r="A740" s="6">
        <v>44841</v>
      </c>
      <c r="B740" t="s">
        <v>920</v>
      </c>
      <c r="C740" t="s">
        <v>921</v>
      </c>
      <c r="D740" t="s">
        <v>923</v>
      </c>
      <c r="F740">
        <v>3.08</v>
      </c>
      <c r="G740">
        <v>300</v>
      </c>
      <c r="H740">
        <v>0.8</v>
      </c>
      <c r="I740">
        <v>25</v>
      </c>
    </row>
    <row r="741" spans="1:9">
      <c r="A741" s="6">
        <v>44842</v>
      </c>
      <c r="B741" t="s">
        <v>920</v>
      </c>
      <c r="C741" t="s">
        <v>921</v>
      </c>
      <c r="D741" t="s">
        <v>924</v>
      </c>
      <c r="F741">
        <v>0</v>
      </c>
      <c r="G741">
        <v>0</v>
      </c>
      <c r="H741">
        <v>57.5</v>
      </c>
      <c r="I741">
        <v>63</v>
      </c>
    </row>
    <row r="742" spans="1:9">
      <c r="A742" s="6">
        <v>44844</v>
      </c>
      <c r="B742" t="s">
        <v>920</v>
      </c>
      <c r="C742" t="s">
        <v>921</v>
      </c>
      <c r="D742" t="s">
        <v>925</v>
      </c>
      <c r="F742">
        <v>0</v>
      </c>
      <c r="G742">
        <v>0</v>
      </c>
      <c r="H742">
        <v>36.200000000000003</v>
      </c>
      <c r="I742">
        <v>64</v>
      </c>
    </row>
    <row r="743" spans="1:9">
      <c r="A743" s="6">
        <v>44845</v>
      </c>
      <c r="B743" t="s">
        <v>920</v>
      </c>
      <c r="C743" t="s">
        <v>921</v>
      </c>
      <c r="D743" t="s">
        <v>926</v>
      </c>
      <c r="F743">
        <v>3.08</v>
      </c>
      <c r="G743">
        <v>300</v>
      </c>
      <c r="H743">
        <v>0</v>
      </c>
      <c r="I743">
        <v>56</v>
      </c>
    </row>
    <row r="744" spans="1:9">
      <c r="A744" s="6">
        <v>44846</v>
      </c>
      <c r="B744" t="s">
        <v>920</v>
      </c>
      <c r="C744" t="s">
        <v>921</v>
      </c>
      <c r="D744" t="s">
        <v>927</v>
      </c>
      <c r="F744">
        <v>0</v>
      </c>
      <c r="G744">
        <v>0</v>
      </c>
      <c r="H744">
        <v>14.9</v>
      </c>
      <c r="I744">
        <v>66</v>
      </c>
    </row>
    <row r="745" spans="1:9">
      <c r="A745" s="6">
        <v>44847</v>
      </c>
      <c r="B745" t="s">
        <v>920</v>
      </c>
      <c r="C745" t="s">
        <v>921</v>
      </c>
      <c r="D745" t="s">
        <v>928</v>
      </c>
      <c r="F745">
        <v>2.04</v>
      </c>
      <c r="G745">
        <v>200</v>
      </c>
      <c r="H745">
        <v>36.700000000000003</v>
      </c>
      <c r="I745">
        <v>62</v>
      </c>
    </row>
    <row r="746" spans="1:9">
      <c r="A746" s="6">
        <v>44848</v>
      </c>
      <c r="B746" t="s">
        <v>920</v>
      </c>
      <c r="C746" t="s">
        <v>921</v>
      </c>
      <c r="D746" t="s">
        <v>929</v>
      </c>
      <c r="F746">
        <v>0</v>
      </c>
      <c r="G746">
        <v>0</v>
      </c>
      <c r="H746">
        <v>0</v>
      </c>
      <c r="I746">
        <v>33</v>
      </c>
    </row>
    <row r="747" spans="1:9">
      <c r="A747" s="6">
        <v>44849</v>
      </c>
      <c r="B747" t="s">
        <v>920</v>
      </c>
      <c r="C747" t="s">
        <v>921</v>
      </c>
      <c r="D747" t="s">
        <v>930</v>
      </c>
      <c r="F747">
        <v>3.08</v>
      </c>
      <c r="G747">
        <v>300</v>
      </c>
      <c r="H747">
        <v>0</v>
      </c>
      <c r="I747">
        <v>0</v>
      </c>
    </row>
    <row r="748" spans="1:9">
      <c r="A748" s="6">
        <v>44835</v>
      </c>
      <c r="B748" t="s">
        <v>76</v>
      </c>
      <c r="C748" t="s">
        <v>77</v>
      </c>
      <c r="F748">
        <v>0</v>
      </c>
      <c r="G748">
        <v>0</v>
      </c>
      <c r="H748">
        <v>4.7</v>
      </c>
      <c r="I748">
        <v>0</v>
      </c>
    </row>
    <row r="749" spans="1:9">
      <c r="A749" s="6">
        <v>44837</v>
      </c>
      <c r="B749" t="s">
        <v>76</v>
      </c>
      <c r="C749" t="s">
        <v>77</v>
      </c>
      <c r="E749" t="s">
        <v>931</v>
      </c>
      <c r="F749">
        <v>0</v>
      </c>
      <c r="G749">
        <v>0</v>
      </c>
      <c r="H749">
        <v>80</v>
      </c>
      <c r="I749">
        <v>67</v>
      </c>
    </row>
    <row r="750" spans="1:9">
      <c r="A750" s="6">
        <v>44838</v>
      </c>
      <c r="B750" t="s">
        <v>76</v>
      </c>
      <c r="C750" t="s">
        <v>77</v>
      </c>
      <c r="E750" t="s">
        <v>932</v>
      </c>
      <c r="F750">
        <v>0</v>
      </c>
      <c r="G750">
        <v>0</v>
      </c>
      <c r="H750">
        <v>16.5</v>
      </c>
      <c r="I750">
        <v>22</v>
      </c>
    </row>
    <row r="751" spans="1:9">
      <c r="A751" s="6">
        <v>44839</v>
      </c>
      <c r="B751" t="s">
        <v>76</v>
      </c>
      <c r="C751" t="s">
        <v>77</v>
      </c>
      <c r="F751">
        <v>0</v>
      </c>
      <c r="G751">
        <v>0</v>
      </c>
      <c r="H751">
        <v>0</v>
      </c>
      <c r="I751">
        <v>0</v>
      </c>
    </row>
    <row r="752" spans="1:9">
      <c r="A752" s="6">
        <v>44840</v>
      </c>
      <c r="B752" t="s">
        <v>76</v>
      </c>
      <c r="C752" t="s">
        <v>77</v>
      </c>
      <c r="E752" t="s">
        <v>933</v>
      </c>
      <c r="F752">
        <v>0</v>
      </c>
      <c r="G752">
        <v>0</v>
      </c>
      <c r="H752">
        <v>10.7</v>
      </c>
      <c r="I752">
        <v>14</v>
      </c>
    </row>
    <row r="753" spans="1:9">
      <c r="A753" s="6">
        <v>44841</v>
      </c>
      <c r="B753" t="s">
        <v>76</v>
      </c>
      <c r="C753" t="s">
        <v>77</v>
      </c>
      <c r="E753" t="s">
        <v>934</v>
      </c>
      <c r="F753">
        <v>0</v>
      </c>
      <c r="G753">
        <v>0</v>
      </c>
      <c r="H753">
        <v>36.1</v>
      </c>
      <c r="I753">
        <v>65</v>
      </c>
    </row>
    <row r="754" spans="1:9">
      <c r="A754" s="6">
        <v>44842</v>
      </c>
      <c r="B754" t="s">
        <v>76</v>
      </c>
      <c r="C754" t="s">
        <v>77</v>
      </c>
      <c r="F754">
        <v>0</v>
      </c>
      <c r="G754">
        <v>0</v>
      </c>
      <c r="H754">
        <v>6.2</v>
      </c>
      <c r="I754">
        <v>0</v>
      </c>
    </row>
    <row r="755" spans="1:9">
      <c r="A755" s="6">
        <v>44844</v>
      </c>
      <c r="B755" t="s">
        <v>76</v>
      </c>
      <c r="C755" t="s">
        <v>77</v>
      </c>
      <c r="E755" t="s">
        <v>935</v>
      </c>
      <c r="F755">
        <v>0</v>
      </c>
      <c r="G755">
        <v>0</v>
      </c>
      <c r="H755">
        <v>133.9</v>
      </c>
      <c r="I755">
        <v>144</v>
      </c>
    </row>
    <row r="756" spans="1:9">
      <c r="A756" s="6">
        <v>44845</v>
      </c>
      <c r="B756" t="s">
        <v>76</v>
      </c>
      <c r="C756" t="s">
        <v>77</v>
      </c>
      <c r="E756" t="s">
        <v>936</v>
      </c>
      <c r="F756">
        <v>0</v>
      </c>
      <c r="G756">
        <v>0</v>
      </c>
      <c r="H756">
        <v>134.6</v>
      </c>
      <c r="I756">
        <v>150</v>
      </c>
    </row>
    <row r="757" spans="1:9">
      <c r="A757" s="6">
        <v>44846</v>
      </c>
      <c r="B757" t="s">
        <v>76</v>
      </c>
      <c r="C757" t="s">
        <v>77</v>
      </c>
      <c r="E757" t="s">
        <v>937</v>
      </c>
      <c r="F757">
        <v>0</v>
      </c>
      <c r="G757">
        <v>0</v>
      </c>
      <c r="H757">
        <v>0</v>
      </c>
      <c r="I757">
        <v>53</v>
      </c>
    </row>
    <row r="758" spans="1:9">
      <c r="A758" s="6">
        <v>44847</v>
      </c>
      <c r="B758" t="s">
        <v>76</v>
      </c>
      <c r="C758" t="s">
        <v>77</v>
      </c>
      <c r="E758" t="s">
        <v>938</v>
      </c>
      <c r="F758">
        <v>0</v>
      </c>
      <c r="G758">
        <v>0</v>
      </c>
      <c r="H758">
        <v>1.3</v>
      </c>
      <c r="I758">
        <v>7</v>
      </c>
    </row>
    <row r="759" spans="1:9">
      <c r="A759" s="6">
        <v>44848</v>
      </c>
      <c r="B759" t="s">
        <v>76</v>
      </c>
      <c r="C759" t="s">
        <v>77</v>
      </c>
      <c r="E759" t="s">
        <v>939</v>
      </c>
      <c r="F759">
        <v>35.409999999999997</v>
      </c>
      <c r="G759">
        <v>3000</v>
      </c>
      <c r="H759">
        <v>65.2</v>
      </c>
      <c r="I759">
        <v>72</v>
      </c>
    </row>
    <row r="760" spans="1:9">
      <c r="A760" s="6">
        <v>44849</v>
      </c>
      <c r="B760" t="s">
        <v>76</v>
      </c>
      <c r="C760" t="s">
        <v>77</v>
      </c>
      <c r="E760" t="s">
        <v>940</v>
      </c>
      <c r="F760">
        <v>0</v>
      </c>
      <c r="G760">
        <v>0</v>
      </c>
      <c r="H760">
        <v>64.3</v>
      </c>
      <c r="I760">
        <v>68</v>
      </c>
    </row>
    <row r="761" spans="1:9">
      <c r="A761" s="6">
        <v>44835</v>
      </c>
      <c r="B761" t="s">
        <v>941</v>
      </c>
      <c r="C761" t="s">
        <v>942</v>
      </c>
      <c r="E761" t="s">
        <v>943</v>
      </c>
      <c r="F761">
        <v>0</v>
      </c>
      <c r="G761">
        <v>0</v>
      </c>
      <c r="H761">
        <v>2.4</v>
      </c>
      <c r="I761">
        <v>11</v>
      </c>
    </row>
    <row r="762" spans="1:9">
      <c r="A762" s="6">
        <v>44838</v>
      </c>
      <c r="B762" t="s">
        <v>941</v>
      </c>
      <c r="C762" t="s">
        <v>942</v>
      </c>
      <c r="E762" t="s">
        <v>944</v>
      </c>
      <c r="F762">
        <v>0</v>
      </c>
      <c r="G762">
        <v>0</v>
      </c>
      <c r="H762">
        <v>20.9</v>
      </c>
      <c r="I762">
        <v>28</v>
      </c>
    </row>
    <row r="763" spans="1:9">
      <c r="A763" s="6">
        <v>44841</v>
      </c>
      <c r="B763" t="s">
        <v>941</v>
      </c>
      <c r="C763" t="s">
        <v>942</v>
      </c>
      <c r="E763" t="s">
        <v>945</v>
      </c>
      <c r="F763">
        <v>0</v>
      </c>
      <c r="G763">
        <v>0</v>
      </c>
      <c r="H763">
        <v>3.8</v>
      </c>
      <c r="I763">
        <v>55</v>
      </c>
    </row>
    <row r="764" spans="1:9">
      <c r="A764" s="6">
        <v>44842</v>
      </c>
      <c r="B764" t="s">
        <v>941</v>
      </c>
      <c r="C764" t="s">
        <v>942</v>
      </c>
      <c r="E764" t="s">
        <v>946</v>
      </c>
      <c r="F764">
        <v>0</v>
      </c>
      <c r="G764">
        <v>0</v>
      </c>
      <c r="H764">
        <v>37.6</v>
      </c>
      <c r="I764">
        <v>55</v>
      </c>
    </row>
    <row r="765" spans="1:9">
      <c r="A765" s="6">
        <v>44843</v>
      </c>
      <c r="B765" t="s">
        <v>941</v>
      </c>
      <c r="C765" t="s">
        <v>942</v>
      </c>
      <c r="E765" t="s">
        <v>947</v>
      </c>
      <c r="F765">
        <v>0</v>
      </c>
      <c r="G765">
        <v>0</v>
      </c>
      <c r="H765">
        <v>61</v>
      </c>
      <c r="I765">
        <v>46</v>
      </c>
    </row>
    <row r="766" spans="1:9">
      <c r="A766" s="6">
        <v>44844</v>
      </c>
      <c r="B766" t="s">
        <v>941</v>
      </c>
      <c r="C766" t="s">
        <v>942</v>
      </c>
      <c r="E766" t="s">
        <v>948</v>
      </c>
      <c r="F766">
        <v>0</v>
      </c>
      <c r="G766">
        <v>0</v>
      </c>
      <c r="H766">
        <v>2.7</v>
      </c>
      <c r="I766">
        <v>65</v>
      </c>
    </row>
    <row r="767" spans="1:9">
      <c r="A767" s="6">
        <v>44845</v>
      </c>
      <c r="B767" t="s">
        <v>941</v>
      </c>
      <c r="C767" t="s">
        <v>942</v>
      </c>
      <c r="E767" t="s">
        <v>949</v>
      </c>
      <c r="F767">
        <v>11.77</v>
      </c>
      <c r="G767">
        <v>1200</v>
      </c>
      <c r="H767">
        <v>111.8</v>
      </c>
      <c r="I767">
        <v>122</v>
      </c>
    </row>
    <row r="768" spans="1:9">
      <c r="A768" s="6">
        <v>44846</v>
      </c>
      <c r="B768" t="s">
        <v>941</v>
      </c>
      <c r="C768" t="s">
        <v>942</v>
      </c>
      <c r="E768" t="s">
        <v>950</v>
      </c>
      <c r="F768">
        <v>0</v>
      </c>
      <c r="G768">
        <v>0</v>
      </c>
      <c r="H768">
        <v>42</v>
      </c>
      <c r="I768">
        <v>50</v>
      </c>
    </row>
    <row r="769" spans="1:9">
      <c r="A769" s="6">
        <v>44847</v>
      </c>
      <c r="B769" t="s">
        <v>941</v>
      </c>
      <c r="C769" t="s">
        <v>942</v>
      </c>
      <c r="E769" t="s">
        <v>951</v>
      </c>
      <c r="F769">
        <v>0</v>
      </c>
      <c r="G769">
        <v>0</v>
      </c>
      <c r="H769">
        <v>1.8</v>
      </c>
      <c r="I769">
        <v>50</v>
      </c>
    </row>
    <row r="770" spans="1:9">
      <c r="A770" s="6">
        <v>44849</v>
      </c>
      <c r="B770" t="s">
        <v>941</v>
      </c>
      <c r="C770" t="s">
        <v>942</v>
      </c>
      <c r="E770" t="s">
        <v>952</v>
      </c>
      <c r="F770">
        <v>0</v>
      </c>
      <c r="G770">
        <v>0</v>
      </c>
      <c r="H770">
        <v>46.4</v>
      </c>
      <c r="I770">
        <v>61</v>
      </c>
    </row>
    <row r="771" spans="1:9">
      <c r="A771" s="6">
        <v>44835</v>
      </c>
      <c r="B771" t="s">
        <v>953</v>
      </c>
      <c r="C771" t="s">
        <v>954</v>
      </c>
      <c r="F771">
        <v>0</v>
      </c>
      <c r="G771">
        <v>500</v>
      </c>
      <c r="H771">
        <v>0</v>
      </c>
      <c r="I771">
        <v>0</v>
      </c>
    </row>
    <row r="772" spans="1:9">
      <c r="A772" s="6">
        <v>44837</v>
      </c>
      <c r="B772" t="s">
        <v>953</v>
      </c>
      <c r="C772" t="s">
        <v>954</v>
      </c>
      <c r="F772">
        <v>0</v>
      </c>
      <c r="G772">
        <v>0</v>
      </c>
      <c r="H772">
        <v>1.7</v>
      </c>
      <c r="I772">
        <v>0</v>
      </c>
    </row>
    <row r="773" spans="1:9">
      <c r="A773" s="6">
        <v>44838</v>
      </c>
      <c r="B773" t="s">
        <v>953</v>
      </c>
      <c r="C773" t="s">
        <v>954</v>
      </c>
      <c r="F773">
        <v>0</v>
      </c>
      <c r="G773">
        <v>0</v>
      </c>
      <c r="H773">
        <v>1.3</v>
      </c>
      <c r="I773">
        <v>0</v>
      </c>
    </row>
    <row r="774" spans="1:9">
      <c r="A774" s="6">
        <v>44839</v>
      </c>
      <c r="B774" t="s">
        <v>953</v>
      </c>
      <c r="C774" t="s">
        <v>954</v>
      </c>
      <c r="F774">
        <v>0</v>
      </c>
      <c r="G774">
        <v>0</v>
      </c>
      <c r="H774">
        <v>0.2</v>
      </c>
      <c r="I774">
        <v>0</v>
      </c>
    </row>
    <row r="775" spans="1:9">
      <c r="A775" s="6">
        <v>44840</v>
      </c>
      <c r="B775" t="s">
        <v>953</v>
      </c>
      <c r="C775" t="s">
        <v>954</v>
      </c>
      <c r="F775">
        <v>0</v>
      </c>
      <c r="G775">
        <v>0</v>
      </c>
      <c r="H775">
        <v>0</v>
      </c>
      <c r="I775">
        <v>0</v>
      </c>
    </row>
    <row r="776" spans="1:9">
      <c r="A776" s="6">
        <v>44841</v>
      </c>
      <c r="B776" t="s">
        <v>953</v>
      </c>
      <c r="C776" t="s">
        <v>954</v>
      </c>
      <c r="F776">
        <v>0</v>
      </c>
      <c r="G776">
        <v>0</v>
      </c>
      <c r="H776">
        <v>0.1</v>
      </c>
      <c r="I776">
        <v>0</v>
      </c>
    </row>
    <row r="777" spans="1:9">
      <c r="A777" s="6">
        <v>44847</v>
      </c>
      <c r="B777" t="s">
        <v>953</v>
      </c>
      <c r="C777" t="s">
        <v>954</v>
      </c>
      <c r="F777">
        <v>0</v>
      </c>
      <c r="G777">
        <v>0</v>
      </c>
      <c r="H777">
        <v>0.1</v>
      </c>
      <c r="I777">
        <v>0</v>
      </c>
    </row>
    <row r="778" spans="1:9">
      <c r="A778" s="6">
        <v>44848</v>
      </c>
      <c r="B778" t="s">
        <v>953</v>
      </c>
      <c r="C778" t="s">
        <v>954</v>
      </c>
      <c r="F778">
        <v>0</v>
      </c>
      <c r="G778">
        <v>0</v>
      </c>
      <c r="H778">
        <v>1.7</v>
      </c>
      <c r="I778">
        <v>0</v>
      </c>
    </row>
    <row r="779" spans="1:9">
      <c r="A779" s="6">
        <v>44849</v>
      </c>
      <c r="B779" t="s">
        <v>953</v>
      </c>
      <c r="C779" t="s">
        <v>954</v>
      </c>
      <c r="F779">
        <v>0</v>
      </c>
      <c r="G779">
        <v>400</v>
      </c>
      <c r="H779">
        <v>1.6</v>
      </c>
      <c r="I779">
        <v>0</v>
      </c>
    </row>
    <row r="780" spans="1:9">
      <c r="A780" s="6">
        <v>44835</v>
      </c>
      <c r="B780" t="s">
        <v>955</v>
      </c>
      <c r="C780" t="s">
        <v>956</v>
      </c>
      <c r="E780" t="s">
        <v>957</v>
      </c>
      <c r="F780">
        <v>0</v>
      </c>
      <c r="G780">
        <v>0</v>
      </c>
      <c r="H780">
        <v>3.9</v>
      </c>
      <c r="I780">
        <v>75</v>
      </c>
    </row>
    <row r="781" spans="1:9">
      <c r="A781" s="6">
        <v>44837</v>
      </c>
      <c r="B781" t="s">
        <v>955</v>
      </c>
      <c r="C781" t="s">
        <v>956</v>
      </c>
      <c r="E781" t="s">
        <v>958</v>
      </c>
      <c r="F781">
        <v>0</v>
      </c>
      <c r="G781">
        <v>0</v>
      </c>
      <c r="H781">
        <v>19</v>
      </c>
      <c r="I781">
        <v>96</v>
      </c>
    </row>
    <row r="782" spans="1:9">
      <c r="A782" s="6">
        <v>44838</v>
      </c>
      <c r="B782" t="s">
        <v>955</v>
      </c>
      <c r="C782" t="s">
        <v>956</v>
      </c>
      <c r="E782" t="s">
        <v>959</v>
      </c>
      <c r="F782">
        <v>0</v>
      </c>
      <c r="G782">
        <v>0</v>
      </c>
      <c r="H782">
        <v>442.5</v>
      </c>
      <c r="I782">
        <v>0</v>
      </c>
    </row>
    <row r="783" spans="1:9">
      <c r="A783" s="6">
        <v>44839</v>
      </c>
      <c r="B783" t="s">
        <v>955</v>
      </c>
      <c r="C783" t="s">
        <v>956</v>
      </c>
      <c r="D783" t="s">
        <v>960</v>
      </c>
      <c r="F783">
        <v>0</v>
      </c>
      <c r="G783">
        <v>0</v>
      </c>
      <c r="H783">
        <v>3.7</v>
      </c>
      <c r="I783">
        <v>141</v>
      </c>
    </row>
    <row r="784" spans="1:9">
      <c r="A784" s="6">
        <v>44840</v>
      </c>
      <c r="B784" t="s">
        <v>955</v>
      </c>
      <c r="C784" t="s">
        <v>956</v>
      </c>
      <c r="D784" t="s">
        <v>961</v>
      </c>
      <c r="F784">
        <v>15</v>
      </c>
      <c r="G784">
        <v>1366.5</v>
      </c>
      <c r="H784">
        <v>44.7</v>
      </c>
      <c r="I784">
        <v>183</v>
      </c>
    </row>
    <row r="785" spans="1:9">
      <c r="A785" s="6">
        <v>44841</v>
      </c>
      <c r="B785" t="s">
        <v>955</v>
      </c>
      <c r="C785" t="s">
        <v>956</v>
      </c>
      <c r="D785" t="s">
        <v>962</v>
      </c>
      <c r="F785">
        <v>0</v>
      </c>
      <c r="G785">
        <v>0</v>
      </c>
      <c r="H785">
        <v>19.100000000000001</v>
      </c>
      <c r="I785">
        <v>74</v>
      </c>
    </row>
    <row r="786" spans="1:9">
      <c r="A786" s="6">
        <v>44842</v>
      </c>
      <c r="B786" t="s">
        <v>955</v>
      </c>
      <c r="C786" t="s">
        <v>956</v>
      </c>
      <c r="D786" t="s">
        <v>963</v>
      </c>
      <c r="F786">
        <v>15</v>
      </c>
      <c r="G786">
        <v>1366</v>
      </c>
      <c r="H786">
        <v>18.5</v>
      </c>
      <c r="I786">
        <v>229</v>
      </c>
    </row>
    <row r="787" spans="1:9">
      <c r="A787" s="6">
        <v>44843</v>
      </c>
      <c r="B787" t="s">
        <v>955</v>
      </c>
      <c r="C787" t="s">
        <v>956</v>
      </c>
      <c r="D787" t="s">
        <v>964</v>
      </c>
      <c r="F787">
        <v>0</v>
      </c>
      <c r="G787">
        <v>0</v>
      </c>
      <c r="H787">
        <v>6.5</v>
      </c>
      <c r="I787">
        <v>149</v>
      </c>
    </row>
    <row r="788" spans="1:9">
      <c r="A788" s="6">
        <v>44844</v>
      </c>
      <c r="B788" t="s">
        <v>955</v>
      </c>
      <c r="C788" t="s">
        <v>956</v>
      </c>
      <c r="D788" t="s">
        <v>965</v>
      </c>
      <c r="F788">
        <v>0</v>
      </c>
      <c r="G788">
        <v>0</v>
      </c>
      <c r="H788">
        <v>4.9000000000000004</v>
      </c>
      <c r="I788">
        <v>93</v>
      </c>
    </row>
    <row r="789" spans="1:9">
      <c r="A789" s="6">
        <v>44845</v>
      </c>
      <c r="B789" t="s">
        <v>955</v>
      </c>
      <c r="C789" t="s">
        <v>956</v>
      </c>
      <c r="D789" t="s">
        <v>966</v>
      </c>
      <c r="F789">
        <v>15</v>
      </c>
      <c r="G789">
        <v>1366.75</v>
      </c>
      <c r="H789">
        <v>2</v>
      </c>
      <c r="I789">
        <v>128</v>
      </c>
    </row>
    <row r="790" spans="1:9">
      <c r="A790" s="6">
        <v>44846</v>
      </c>
      <c r="B790" t="s">
        <v>955</v>
      </c>
      <c r="C790" t="s">
        <v>956</v>
      </c>
      <c r="D790" t="s">
        <v>967</v>
      </c>
      <c r="F790">
        <v>0</v>
      </c>
      <c r="G790">
        <v>0</v>
      </c>
      <c r="H790">
        <v>0</v>
      </c>
      <c r="I790">
        <v>134</v>
      </c>
    </row>
    <row r="791" spans="1:9">
      <c r="A791" s="6">
        <v>44847</v>
      </c>
      <c r="B791" t="s">
        <v>955</v>
      </c>
      <c r="C791" t="s">
        <v>956</v>
      </c>
      <c r="D791" t="s">
        <v>968</v>
      </c>
      <c r="F791">
        <v>0</v>
      </c>
      <c r="G791">
        <v>0</v>
      </c>
      <c r="H791">
        <v>0</v>
      </c>
      <c r="I791">
        <v>69</v>
      </c>
    </row>
    <row r="792" spans="1:9">
      <c r="A792" s="6">
        <v>44848</v>
      </c>
      <c r="B792" t="s">
        <v>955</v>
      </c>
      <c r="C792" t="s">
        <v>956</v>
      </c>
      <c r="D792" t="s">
        <v>969</v>
      </c>
      <c r="F792">
        <v>15</v>
      </c>
      <c r="G792">
        <v>1365.75</v>
      </c>
      <c r="H792">
        <v>21</v>
      </c>
      <c r="I792">
        <v>114</v>
      </c>
    </row>
    <row r="793" spans="1:9">
      <c r="A793" s="6">
        <v>44849</v>
      </c>
      <c r="B793" t="s">
        <v>955</v>
      </c>
      <c r="C793" t="s">
        <v>956</v>
      </c>
      <c r="D793" t="s">
        <v>970</v>
      </c>
      <c r="F793">
        <v>0</v>
      </c>
      <c r="G793">
        <v>0</v>
      </c>
      <c r="H793">
        <v>0</v>
      </c>
      <c r="I793">
        <v>92</v>
      </c>
    </row>
    <row r="794" spans="1:9">
      <c r="A794" s="6">
        <v>44835</v>
      </c>
      <c r="B794" t="s">
        <v>971</v>
      </c>
      <c r="C794" t="s">
        <v>972</v>
      </c>
      <c r="E794" t="s">
        <v>973</v>
      </c>
      <c r="F794">
        <v>0</v>
      </c>
      <c r="G794">
        <v>0</v>
      </c>
      <c r="H794">
        <v>22.1</v>
      </c>
      <c r="I794">
        <v>20</v>
      </c>
    </row>
    <row r="795" spans="1:9">
      <c r="A795" s="6">
        <v>44837</v>
      </c>
      <c r="B795" t="s">
        <v>971</v>
      </c>
      <c r="C795" t="s">
        <v>972</v>
      </c>
      <c r="E795" t="s">
        <v>974</v>
      </c>
      <c r="F795">
        <v>0</v>
      </c>
      <c r="G795">
        <v>0</v>
      </c>
      <c r="H795">
        <v>49.3</v>
      </c>
      <c r="I795">
        <v>51</v>
      </c>
    </row>
    <row r="796" spans="1:9">
      <c r="A796" s="6">
        <v>44841</v>
      </c>
      <c r="B796" t="s">
        <v>971</v>
      </c>
      <c r="C796" t="s">
        <v>972</v>
      </c>
      <c r="E796" t="s">
        <v>975</v>
      </c>
      <c r="F796">
        <v>0</v>
      </c>
      <c r="G796">
        <v>0</v>
      </c>
      <c r="H796">
        <v>1.2</v>
      </c>
      <c r="I796">
        <v>58</v>
      </c>
    </row>
    <row r="797" spans="1:9">
      <c r="A797" s="6">
        <v>44842</v>
      </c>
      <c r="B797" t="s">
        <v>971</v>
      </c>
      <c r="C797" t="s">
        <v>972</v>
      </c>
      <c r="E797" t="s">
        <v>976</v>
      </c>
      <c r="F797">
        <v>0</v>
      </c>
      <c r="G797">
        <v>0</v>
      </c>
      <c r="H797">
        <v>0.2</v>
      </c>
      <c r="I797">
        <v>25</v>
      </c>
    </row>
    <row r="798" spans="1:9">
      <c r="A798" s="6">
        <v>44846</v>
      </c>
      <c r="B798" t="s">
        <v>971</v>
      </c>
      <c r="C798" t="s">
        <v>972</v>
      </c>
      <c r="E798" t="s">
        <v>977</v>
      </c>
      <c r="F798">
        <v>0</v>
      </c>
      <c r="G798">
        <v>0</v>
      </c>
      <c r="H798">
        <v>0.4</v>
      </c>
      <c r="I798">
        <v>52</v>
      </c>
    </row>
    <row r="799" spans="1:9">
      <c r="A799" s="6">
        <v>44848</v>
      </c>
      <c r="B799" t="s">
        <v>971</v>
      </c>
      <c r="C799" t="s">
        <v>972</v>
      </c>
      <c r="E799" t="s">
        <v>978</v>
      </c>
      <c r="F799">
        <v>0</v>
      </c>
      <c r="G799">
        <v>0</v>
      </c>
      <c r="H799">
        <v>19.5</v>
      </c>
      <c r="I799">
        <v>47</v>
      </c>
    </row>
    <row r="800" spans="1:9">
      <c r="A800" s="6">
        <v>44849</v>
      </c>
      <c r="B800" t="s">
        <v>971</v>
      </c>
      <c r="C800" t="s">
        <v>972</v>
      </c>
      <c r="E800" t="s">
        <v>979</v>
      </c>
      <c r="F800">
        <v>0</v>
      </c>
      <c r="G800">
        <v>0</v>
      </c>
      <c r="H800">
        <v>4.5999999999999996</v>
      </c>
      <c r="I800">
        <v>34</v>
      </c>
    </row>
    <row r="801" spans="1:9">
      <c r="A801" s="6">
        <v>44837</v>
      </c>
      <c r="B801" t="s">
        <v>980</v>
      </c>
      <c r="C801" t="s">
        <v>981</v>
      </c>
      <c r="E801" t="s">
        <v>982</v>
      </c>
      <c r="F801">
        <v>5.37</v>
      </c>
      <c r="G801">
        <v>550</v>
      </c>
      <c r="H801">
        <v>30</v>
      </c>
      <c r="I801">
        <v>84</v>
      </c>
    </row>
    <row r="802" spans="1:9">
      <c r="A802" s="6">
        <v>44840</v>
      </c>
      <c r="B802" t="s">
        <v>980</v>
      </c>
      <c r="C802" t="s">
        <v>981</v>
      </c>
      <c r="E802" t="s">
        <v>983</v>
      </c>
      <c r="F802">
        <v>0</v>
      </c>
      <c r="G802">
        <v>0</v>
      </c>
      <c r="H802">
        <v>58.5</v>
      </c>
      <c r="I802">
        <v>61</v>
      </c>
    </row>
    <row r="803" spans="1:9">
      <c r="A803" s="6">
        <v>44841</v>
      </c>
      <c r="B803" t="s">
        <v>980</v>
      </c>
      <c r="C803" t="s">
        <v>981</v>
      </c>
      <c r="E803" t="s">
        <v>984</v>
      </c>
      <c r="F803">
        <v>0</v>
      </c>
      <c r="G803">
        <v>0</v>
      </c>
      <c r="H803">
        <v>6.6</v>
      </c>
      <c r="I803">
        <v>27</v>
      </c>
    </row>
    <row r="804" spans="1:9">
      <c r="A804" s="6">
        <v>44842</v>
      </c>
      <c r="B804" t="s">
        <v>980</v>
      </c>
      <c r="C804" t="s">
        <v>981</v>
      </c>
      <c r="E804" t="s">
        <v>985</v>
      </c>
      <c r="F804">
        <v>0</v>
      </c>
      <c r="G804">
        <v>0</v>
      </c>
      <c r="H804">
        <v>29.8</v>
      </c>
      <c r="I804">
        <v>77</v>
      </c>
    </row>
    <row r="805" spans="1:9">
      <c r="A805" s="6">
        <v>44844</v>
      </c>
      <c r="B805" t="s">
        <v>980</v>
      </c>
      <c r="C805" t="s">
        <v>981</v>
      </c>
      <c r="E805" t="s">
        <v>986</v>
      </c>
      <c r="F805">
        <v>0</v>
      </c>
      <c r="G805">
        <v>0</v>
      </c>
      <c r="H805">
        <v>7.3</v>
      </c>
      <c r="I805">
        <v>24</v>
      </c>
    </row>
    <row r="806" spans="1:9">
      <c r="A806" s="6">
        <v>44845</v>
      </c>
      <c r="B806" t="s">
        <v>980</v>
      </c>
      <c r="C806" t="s">
        <v>981</v>
      </c>
      <c r="E806" t="s">
        <v>987</v>
      </c>
      <c r="F806">
        <v>0</v>
      </c>
      <c r="G806">
        <v>0</v>
      </c>
      <c r="H806">
        <v>0</v>
      </c>
      <c r="I806">
        <v>26</v>
      </c>
    </row>
    <row r="807" spans="1:9">
      <c r="A807" s="6">
        <v>44846</v>
      </c>
      <c r="B807" t="s">
        <v>980</v>
      </c>
      <c r="C807" t="s">
        <v>981</v>
      </c>
      <c r="E807" t="s">
        <v>988</v>
      </c>
      <c r="F807">
        <v>5.32</v>
      </c>
      <c r="G807">
        <v>550</v>
      </c>
      <c r="H807">
        <v>139.4</v>
      </c>
      <c r="I807">
        <v>86</v>
      </c>
    </row>
    <row r="808" spans="1:9">
      <c r="A808" s="6">
        <v>44847</v>
      </c>
      <c r="B808" t="s">
        <v>980</v>
      </c>
      <c r="C808" t="s">
        <v>981</v>
      </c>
      <c r="E808" t="s">
        <v>989</v>
      </c>
      <c r="F808">
        <v>0</v>
      </c>
      <c r="G808">
        <v>0</v>
      </c>
      <c r="H808">
        <v>52.8</v>
      </c>
      <c r="I808">
        <v>68</v>
      </c>
    </row>
    <row r="809" spans="1:9">
      <c r="A809" s="6">
        <v>44848</v>
      </c>
      <c r="B809" t="s">
        <v>980</v>
      </c>
      <c r="C809" t="s">
        <v>981</v>
      </c>
      <c r="E809" t="s">
        <v>990</v>
      </c>
      <c r="F809">
        <v>0</v>
      </c>
      <c r="G809">
        <v>0</v>
      </c>
      <c r="H809">
        <v>26.1</v>
      </c>
      <c r="I809">
        <v>56</v>
      </c>
    </row>
    <row r="810" spans="1:9">
      <c r="A810" s="6">
        <v>44849</v>
      </c>
      <c r="B810" t="s">
        <v>980</v>
      </c>
      <c r="C810" t="s">
        <v>981</v>
      </c>
      <c r="E810" t="s">
        <v>991</v>
      </c>
      <c r="F810">
        <v>0</v>
      </c>
      <c r="G810">
        <v>0</v>
      </c>
      <c r="H810">
        <v>0.6</v>
      </c>
      <c r="I810">
        <v>29</v>
      </c>
    </row>
    <row r="811" spans="1:9">
      <c r="A811" s="6">
        <v>44835</v>
      </c>
      <c r="B811" t="s">
        <v>94</v>
      </c>
      <c r="C811" t="s">
        <v>95</v>
      </c>
      <c r="E811" t="s">
        <v>992</v>
      </c>
      <c r="F811">
        <v>7.48</v>
      </c>
      <c r="G811">
        <v>700</v>
      </c>
      <c r="H811">
        <v>4.3</v>
      </c>
      <c r="I811">
        <v>0</v>
      </c>
    </row>
    <row r="812" spans="1:9">
      <c r="A812" s="6">
        <v>44837</v>
      </c>
      <c r="B812" t="s">
        <v>94</v>
      </c>
      <c r="C812" t="s">
        <v>95</v>
      </c>
      <c r="F812">
        <v>0</v>
      </c>
      <c r="G812">
        <v>0</v>
      </c>
      <c r="H812">
        <v>2.1</v>
      </c>
      <c r="I812">
        <v>0</v>
      </c>
    </row>
    <row r="813" spans="1:9">
      <c r="A813" s="6">
        <v>44838</v>
      </c>
      <c r="B813" t="s">
        <v>94</v>
      </c>
      <c r="C813" t="s">
        <v>95</v>
      </c>
      <c r="F813">
        <v>0</v>
      </c>
      <c r="G813">
        <v>0</v>
      </c>
      <c r="H813">
        <v>2.2000000000000002</v>
      </c>
      <c r="I813">
        <v>0</v>
      </c>
    </row>
    <row r="814" spans="1:9">
      <c r="A814" s="6">
        <v>44841</v>
      </c>
      <c r="B814" t="s">
        <v>94</v>
      </c>
      <c r="C814" t="s">
        <v>95</v>
      </c>
      <c r="F814">
        <v>0</v>
      </c>
      <c r="G814">
        <v>0</v>
      </c>
      <c r="H814">
        <v>0</v>
      </c>
      <c r="I814">
        <v>0</v>
      </c>
    </row>
    <row r="815" spans="1:9">
      <c r="A815" s="6">
        <v>44842</v>
      </c>
      <c r="B815" t="s">
        <v>94</v>
      </c>
      <c r="C815" t="s">
        <v>95</v>
      </c>
      <c r="F815">
        <v>0</v>
      </c>
      <c r="G815">
        <v>0</v>
      </c>
      <c r="H815">
        <v>115.5</v>
      </c>
      <c r="I815">
        <v>0</v>
      </c>
    </row>
    <row r="816" spans="1:9">
      <c r="A816" s="6">
        <v>44844</v>
      </c>
      <c r="B816" t="s">
        <v>94</v>
      </c>
      <c r="C816" t="s">
        <v>95</v>
      </c>
      <c r="F816">
        <v>0</v>
      </c>
      <c r="G816">
        <v>0</v>
      </c>
      <c r="H816">
        <v>0</v>
      </c>
      <c r="I816">
        <v>0</v>
      </c>
    </row>
    <row r="817" spans="1:9">
      <c r="A817" s="6">
        <v>44845</v>
      </c>
      <c r="B817" t="s">
        <v>94</v>
      </c>
      <c r="C817" t="s">
        <v>95</v>
      </c>
      <c r="F817">
        <v>0</v>
      </c>
      <c r="G817">
        <v>0</v>
      </c>
      <c r="H817">
        <v>0.2</v>
      </c>
      <c r="I817">
        <v>0</v>
      </c>
    </row>
    <row r="818" spans="1:9">
      <c r="A818" s="6">
        <v>44847</v>
      </c>
      <c r="B818" t="s">
        <v>94</v>
      </c>
      <c r="C818" t="s">
        <v>95</v>
      </c>
      <c r="F818">
        <v>0</v>
      </c>
      <c r="G818">
        <v>0</v>
      </c>
      <c r="H818">
        <v>170.2</v>
      </c>
      <c r="I818">
        <v>0</v>
      </c>
    </row>
    <row r="819" spans="1:9">
      <c r="A819" s="6">
        <v>44848</v>
      </c>
      <c r="B819" t="s">
        <v>94</v>
      </c>
      <c r="C819" t="s">
        <v>95</v>
      </c>
      <c r="F819">
        <v>0</v>
      </c>
      <c r="G819">
        <v>0</v>
      </c>
      <c r="H819">
        <v>0</v>
      </c>
      <c r="I819">
        <v>0</v>
      </c>
    </row>
    <row r="820" spans="1:9">
      <c r="A820" s="6">
        <v>44849</v>
      </c>
      <c r="B820" t="s">
        <v>94</v>
      </c>
      <c r="C820" t="s">
        <v>95</v>
      </c>
      <c r="F820">
        <v>0</v>
      </c>
      <c r="G820">
        <v>0</v>
      </c>
      <c r="H820">
        <v>0</v>
      </c>
      <c r="I820">
        <v>0</v>
      </c>
    </row>
    <row r="821" spans="1:9">
      <c r="A821" s="6">
        <v>44836</v>
      </c>
      <c r="B821" t="s">
        <v>45</v>
      </c>
      <c r="C821" t="s">
        <v>46</v>
      </c>
      <c r="E821" t="s">
        <v>993</v>
      </c>
      <c r="F821">
        <v>0</v>
      </c>
      <c r="G821">
        <v>0</v>
      </c>
      <c r="H821">
        <v>0</v>
      </c>
      <c r="I821">
        <v>27</v>
      </c>
    </row>
    <row r="822" spans="1:9">
      <c r="A822" s="6">
        <v>44838</v>
      </c>
      <c r="B822" t="s">
        <v>45</v>
      </c>
      <c r="C822" t="s">
        <v>46</v>
      </c>
      <c r="E822" t="s">
        <v>994</v>
      </c>
      <c r="F822">
        <v>15.44</v>
      </c>
      <c r="G822">
        <v>1500</v>
      </c>
      <c r="H822">
        <v>0</v>
      </c>
      <c r="I822">
        <v>240</v>
      </c>
    </row>
    <row r="823" spans="1:9">
      <c r="A823" s="6">
        <v>44840</v>
      </c>
      <c r="B823" t="s">
        <v>45</v>
      </c>
      <c r="C823" t="s">
        <v>46</v>
      </c>
      <c r="E823" t="s">
        <v>995</v>
      </c>
      <c r="F823">
        <v>0</v>
      </c>
      <c r="G823">
        <v>0</v>
      </c>
      <c r="H823">
        <v>0.2</v>
      </c>
      <c r="I823">
        <v>20</v>
      </c>
    </row>
    <row r="824" spans="1:9">
      <c r="A824" s="6">
        <v>44842</v>
      </c>
      <c r="B824" t="s">
        <v>45</v>
      </c>
      <c r="C824" t="s">
        <v>46</v>
      </c>
      <c r="E824" t="s">
        <v>996</v>
      </c>
      <c r="F824">
        <v>20.440000000000001</v>
      </c>
      <c r="G824">
        <v>2000</v>
      </c>
      <c r="H824">
        <v>245.2</v>
      </c>
      <c r="I824">
        <v>278</v>
      </c>
    </row>
    <row r="825" spans="1:9">
      <c r="A825" s="6">
        <v>44843</v>
      </c>
      <c r="B825" t="s">
        <v>45</v>
      </c>
      <c r="C825" t="s">
        <v>46</v>
      </c>
      <c r="E825" t="s">
        <v>997</v>
      </c>
      <c r="F825">
        <v>0</v>
      </c>
      <c r="G825">
        <v>0</v>
      </c>
      <c r="H825">
        <v>2.6</v>
      </c>
      <c r="I825">
        <v>40</v>
      </c>
    </row>
    <row r="826" spans="1:9">
      <c r="A826" s="6">
        <v>44844</v>
      </c>
      <c r="B826" t="s">
        <v>45</v>
      </c>
      <c r="C826" t="s">
        <v>46</v>
      </c>
      <c r="E826" t="s">
        <v>998</v>
      </c>
      <c r="F826">
        <v>20.76</v>
      </c>
      <c r="G826">
        <v>2000</v>
      </c>
      <c r="H826">
        <v>239.5</v>
      </c>
      <c r="I826">
        <v>275</v>
      </c>
    </row>
    <row r="827" spans="1:9">
      <c r="A827" s="6">
        <v>44845</v>
      </c>
      <c r="B827" t="s">
        <v>45</v>
      </c>
      <c r="C827" t="s">
        <v>46</v>
      </c>
      <c r="E827" t="s">
        <v>999</v>
      </c>
      <c r="F827">
        <v>0</v>
      </c>
      <c r="G827">
        <v>0</v>
      </c>
      <c r="H827">
        <v>0</v>
      </c>
      <c r="I827">
        <v>18</v>
      </c>
    </row>
    <row r="828" spans="1:9">
      <c r="A828" s="6">
        <v>44846</v>
      </c>
      <c r="B828" t="s">
        <v>45</v>
      </c>
      <c r="C828" t="s">
        <v>46</v>
      </c>
      <c r="E828" t="s">
        <v>1000</v>
      </c>
      <c r="F828">
        <v>0</v>
      </c>
      <c r="G828">
        <v>0</v>
      </c>
      <c r="H828">
        <v>0.1</v>
      </c>
      <c r="I828">
        <v>53</v>
      </c>
    </row>
    <row r="829" spans="1:9">
      <c r="A829" s="6">
        <v>44847</v>
      </c>
      <c r="B829" t="s">
        <v>45</v>
      </c>
      <c r="C829" t="s">
        <v>46</v>
      </c>
      <c r="E829" t="s">
        <v>1001</v>
      </c>
      <c r="F829">
        <v>0</v>
      </c>
      <c r="G829">
        <v>0</v>
      </c>
      <c r="H829">
        <v>0.2</v>
      </c>
      <c r="I829">
        <v>12</v>
      </c>
    </row>
    <row r="830" spans="1:9">
      <c r="A830" s="6">
        <v>44848</v>
      </c>
      <c r="B830" t="s">
        <v>45</v>
      </c>
      <c r="C830" t="s">
        <v>46</v>
      </c>
      <c r="E830" t="s">
        <v>1002</v>
      </c>
      <c r="F830">
        <v>15.34</v>
      </c>
      <c r="G830">
        <v>1500</v>
      </c>
      <c r="H830">
        <v>1.2</v>
      </c>
      <c r="I830">
        <v>51</v>
      </c>
    </row>
    <row r="831" spans="1:9">
      <c r="A831" s="6">
        <v>44835</v>
      </c>
      <c r="B831" t="s">
        <v>1003</v>
      </c>
      <c r="C831" t="s">
        <v>1004</v>
      </c>
      <c r="E831" t="s">
        <v>1005</v>
      </c>
      <c r="F831">
        <v>0</v>
      </c>
      <c r="G831">
        <v>0</v>
      </c>
      <c r="H831">
        <v>66.8</v>
      </c>
      <c r="I831">
        <v>98</v>
      </c>
    </row>
    <row r="832" spans="1:9">
      <c r="A832" s="6">
        <v>44837</v>
      </c>
      <c r="B832" t="s">
        <v>1003</v>
      </c>
      <c r="C832" t="s">
        <v>1004</v>
      </c>
      <c r="E832" t="s">
        <v>1006</v>
      </c>
      <c r="F832">
        <v>4.6500000000000004</v>
      </c>
      <c r="G832">
        <v>500</v>
      </c>
      <c r="H832">
        <v>116.6</v>
      </c>
      <c r="I832">
        <v>125</v>
      </c>
    </row>
    <row r="833" spans="1:9">
      <c r="A833" s="6">
        <v>44838</v>
      </c>
      <c r="B833" t="s">
        <v>1003</v>
      </c>
      <c r="C833" t="s">
        <v>1004</v>
      </c>
      <c r="E833" t="s">
        <v>1007</v>
      </c>
      <c r="F833">
        <v>0</v>
      </c>
      <c r="G833">
        <v>0</v>
      </c>
      <c r="H833">
        <v>15.4</v>
      </c>
      <c r="I833">
        <v>24</v>
      </c>
    </row>
    <row r="834" spans="1:9">
      <c r="A834" s="6">
        <v>44840</v>
      </c>
      <c r="B834" t="s">
        <v>1003</v>
      </c>
      <c r="C834" t="s">
        <v>1004</v>
      </c>
      <c r="E834" t="s">
        <v>1008</v>
      </c>
      <c r="F834">
        <v>0</v>
      </c>
      <c r="G834">
        <v>0</v>
      </c>
      <c r="H834">
        <v>61.2</v>
      </c>
      <c r="I834">
        <v>83</v>
      </c>
    </row>
    <row r="835" spans="1:9">
      <c r="A835" s="6">
        <v>44841</v>
      </c>
      <c r="B835" t="s">
        <v>1003</v>
      </c>
      <c r="C835" t="s">
        <v>1004</v>
      </c>
      <c r="F835">
        <v>0</v>
      </c>
      <c r="G835">
        <v>0</v>
      </c>
      <c r="H835">
        <v>102.2</v>
      </c>
      <c r="I835">
        <v>0</v>
      </c>
    </row>
    <row r="836" spans="1:9">
      <c r="A836" s="6">
        <v>44842</v>
      </c>
      <c r="B836" t="s">
        <v>1003</v>
      </c>
      <c r="C836" t="s">
        <v>1004</v>
      </c>
      <c r="F836">
        <v>0</v>
      </c>
      <c r="G836">
        <v>0</v>
      </c>
      <c r="H836">
        <v>104.8</v>
      </c>
      <c r="I836">
        <v>0</v>
      </c>
    </row>
    <row r="837" spans="1:9">
      <c r="A837" s="6">
        <v>44844</v>
      </c>
      <c r="B837" t="s">
        <v>1003</v>
      </c>
      <c r="C837" t="s">
        <v>1004</v>
      </c>
      <c r="E837" t="s">
        <v>1009</v>
      </c>
      <c r="F837">
        <v>4.66</v>
      </c>
      <c r="G837">
        <v>500</v>
      </c>
      <c r="H837">
        <v>37.299999999999997</v>
      </c>
      <c r="I837">
        <v>69</v>
      </c>
    </row>
    <row r="838" spans="1:9">
      <c r="A838" s="6">
        <v>44845</v>
      </c>
      <c r="B838" t="s">
        <v>1003</v>
      </c>
      <c r="C838" t="s">
        <v>1004</v>
      </c>
      <c r="E838" t="s">
        <v>1010</v>
      </c>
      <c r="F838">
        <v>0</v>
      </c>
      <c r="G838">
        <v>0</v>
      </c>
      <c r="H838">
        <v>6.7</v>
      </c>
      <c r="I838">
        <v>100</v>
      </c>
    </row>
    <row r="839" spans="1:9">
      <c r="A839" s="6">
        <v>44846</v>
      </c>
      <c r="B839" t="s">
        <v>1003</v>
      </c>
      <c r="C839" t="s">
        <v>1004</v>
      </c>
      <c r="E839" t="s">
        <v>1011</v>
      </c>
      <c r="F839">
        <v>0</v>
      </c>
      <c r="G839">
        <v>0</v>
      </c>
      <c r="H839">
        <v>6.2</v>
      </c>
      <c r="I839">
        <v>30</v>
      </c>
    </row>
    <row r="840" spans="1:9">
      <c r="A840" s="6">
        <v>44847</v>
      </c>
      <c r="B840" t="s">
        <v>1003</v>
      </c>
      <c r="C840" t="s">
        <v>1004</v>
      </c>
      <c r="E840" t="s">
        <v>1012</v>
      </c>
      <c r="F840">
        <v>0</v>
      </c>
      <c r="G840">
        <v>0</v>
      </c>
      <c r="H840">
        <v>137.5</v>
      </c>
      <c r="I840">
        <v>168</v>
      </c>
    </row>
    <row r="841" spans="1:9">
      <c r="A841" s="6">
        <v>44848</v>
      </c>
      <c r="B841" t="s">
        <v>1003</v>
      </c>
      <c r="C841" t="s">
        <v>1004</v>
      </c>
      <c r="E841" t="s">
        <v>1013</v>
      </c>
      <c r="F841">
        <v>4.66</v>
      </c>
      <c r="G841">
        <v>500</v>
      </c>
      <c r="H841">
        <v>62.5</v>
      </c>
      <c r="I841">
        <v>87</v>
      </c>
    </row>
    <row r="842" spans="1:9">
      <c r="A842" s="6">
        <v>44849</v>
      </c>
      <c r="B842" t="s">
        <v>1003</v>
      </c>
      <c r="C842" t="s">
        <v>1004</v>
      </c>
      <c r="E842" t="s">
        <v>1014</v>
      </c>
      <c r="F842">
        <v>0</v>
      </c>
      <c r="G842">
        <v>0</v>
      </c>
      <c r="H842">
        <v>40.9</v>
      </c>
      <c r="I842">
        <v>88</v>
      </c>
    </row>
  </sheetData>
  <pageMargins left="0.70866141732283472" right="0.70866141732283472" top="0.74803149606299213" bottom="0.74803149606299213" header="0.31496062992125984" footer="0.31496062992125984"/>
  <pageSetup paperSize="9" orientation="landscape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4">
    <pageSetUpPr fitToPage="1"/>
  </sheetPr>
  <dimension ref="A1:W835"/>
  <sheetViews>
    <sheetView showGridLines="0" workbookViewId="0">
      <selection activeCell="A4" sqref="A4:U835"/>
    </sheetView>
  </sheetViews>
  <sheetFormatPr defaultRowHeight="13.2"/>
  <cols>
    <col min="1" max="1" width="7.44140625" customWidth="1"/>
    <col min="2" max="2" width="17.6640625" bestFit="1" customWidth="1"/>
    <col min="3" max="3" width="31.88671875" bestFit="1" customWidth="1"/>
    <col min="4" max="4" width="13.88671875" bestFit="1" customWidth="1"/>
    <col min="5" max="5" width="29.33203125" bestFit="1" customWidth="1"/>
    <col min="6" max="6" width="132" bestFit="1" customWidth="1"/>
    <col min="7" max="7" width="12.6640625" bestFit="1" customWidth="1"/>
    <col min="8" max="8" width="119.33203125" bestFit="1" customWidth="1"/>
    <col min="9" max="9" width="12" bestFit="1" customWidth="1"/>
    <col min="10" max="10" width="22.6640625" bestFit="1" customWidth="1"/>
    <col min="11" max="11" width="18.33203125" bestFit="1" customWidth="1"/>
    <col min="12" max="12" width="20.33203125" bestFit="1" customWidth="1"/>
    <col min="13" max="13" width="24.5546875" bestFit="1" customWidth="1"/>
    <col min="14" max="14" width="15.88671875" bestFit="1" customWidth="1"/>
    <col min="15" max="15" width="27.109375" bestFit="1" customWidth="1"/>
    <col min="16" max="16" width="34.33203125" bestFit="1" customWidth="1"/>
    <col min="17" max="17" width="12.109375" bestFit="1" customWidth="1"/>
    <col min="18" max="18" width="9.6640625" customWidth="1"/>
    <col min="19" max="19" width="12" customWidth="1"/>
    <col min="20" max="20" width="12.6640625" bestFit="1" customWidth="1"/>
    <col min="21" max="21" width="14" bestFit="1" customWidth="1"/>
    <col min="22" max="22" width="11.6640625" bestFit="1" customWidth="1"/>
    <col min="23" max="23" width="15.44140625" bestFit="1" customWidth="1"/>
  </cols>
  <sheetData>
    <row r="1" spans="1:23">
      <c r="A1" s="27" t="s">
        <v>156</v>
      </c>
      <c r="B1" s="27"/>
      <c r="C1" s="27"/>
      <c r="D1" s="27"/>
      <c r="E1" s="27"/>
      <c r="F1" s="27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</row>
    <row r="4" spans="1:23">
      <c r="A4" t="s">
        <v>10</v>
      </c>
      <c r="B4" t="s">
        <v>12</v>
      </c>
      <c r="C4" t="s">
        <v>13</v>
      </c>
      <c r="D4" t="s">
        <v>122</v>
      </c>
      <c r="E4" t="s">
        <v>129</v>
      </c>
      <c r="F4" t="s">
        <v>14</v>
      </c>
      <c r="G4" t="s">
        <v>123</v>
      </c>
      <c r="H4" t="s">
        <v>15</v>
      </c>
      <c r="I4" t="s">
        <v>124</v>
      </c>
      <c r="J4" t="s">
        <v>125</v>
      </c>
      <c r="K4" t="s">
        <v>126</v>
      </c>
      <c r="L4" t="s">
        <v>39</v>
      </c>
      <c r="M4" t="s">
        <v>127</v>
      </c>
      <c r="N4" t="s">
        <v>40</v>
      </c>
      <c r="O4" t="s">
        <v>41</v>
      </c>
      <c r="P4" t="s">
        <v>157</v>
      </c>
      <c r="Q4" t="s">
        <v>146</v>
      </c>
      <c r="R4" t="s">
        <v>147</v>
      </c>
      <c r="S4" t="s">
        <v>130</v>
      </c>
      <c r="T4" t="s">
        <v>239</v>
      </c>
      <c r="U4" t="s">
        <v>42</v>
      </c>
    </row>
    <row r="5" spans="1:23">
      <c r="A5">
        <v>44837</v>
      </c>
      <c r="B5" t="s">
        <v>84</v>
      </c>
      <c r="C5" t="s">
        <v>85</v>
      </c>
      <c r="D5" t="s">
        <v>163</v>
      </c>
      <c r="E5" t="s">
        <v>166</v>
      </c>
      <c r="F5" t="s">
        <v>1015</v>
      </c>
      <c r="G5">
        <v>0.40833333333333333</v>
      </c>
      <c r="H5" t="s">
        <v>162</v>
      </c>
      <c r="I5">
        <v>0.86388888888888893</v>
      </c>
      <c r="J5">
        <v>2100</v>
      </c>
      <c r="K5">
        <v>0</v>
      </c>
      <c r="L5">
        <v>0</v>
      </c>
      <c r="M5">
        <v>250</v>
      </c>
      <c r="N5">
        <v>0</v>
      </c>
      <c r="O5">
        <v>0</v>
      </c>
      <c r="P5" t="s">
        <v>158</v>
      </c>
      <c r="S5">
        <v>10.933333333333332</v>
      </c>
      <c r="T5">
        <v>250</v>
      </c>
      <c r="U5">
        <v>2350</v>
      </c>
    </row>
    <row r="6" spans="1:23">
      <c r="A6">
        <v>44838</v>
      </c>
      <c r="B6" t="s">
        <v>84</v>
      </c>
      <c r="C6" t="s">
        <v>85</v>
      </c>
      <c r="D6" t="s">
        <v>163</v>
      </c>
      <c r="E6" t="s">
        <v>166</v>
      </c>
      <c r="F6" t="s">
        <v>162</v>
      </c>
      <c r="G6">
        <v>0.38124999999999998</v>
      </c>
      <c r="H6" t="s">
        <v>162</v>
      </c>
      <c r="I6">
        <v>0.8666666666666667</v>
      </c>
      <c r="J6">
        <v>610</v>
      </c>
      <c r="K6">
        <v>0</v>
      </c>
      <c r="L6">
        <v>0</v>
      </c>
      <c r="M6">
        <v>0</v>
      </c>
      <c r="N6">
        <v>0</v>
      </c>
      <c r="O6">
        <v>0</v>
      </c>
      <c r="P6" t="s">
        <v>158</v>
      </c>
      <c r="S6">
        <v>11.649999999999999</v>
      </c>
      <c r="T6">
        <v>250</v>
      </c>
      <c r="U6">
        <v>860</v>
      </c>
    </row>
    <row r="7" spans="1:23">
      <c r="A7">
        <v>44839</v>
      </c>
      <c r="B7" t="s">
        <v>84</v>
      </c>
      <c r="C7" t="s">
        <v>85</v>
      </c>
      <c r="D7" t="s">
        <v>163</v>
      </c>
      <c r="E7" t="s">
        <v>166</v>
      </c>
      <c r="F7" t="s">
        <v>1016</v>
      </c>
      <c r="G7">
        <v>0.38124999999999998</v>
      </c>
      <c r="H7" t="s">
        <v>162</v>
      </c>
      <c r="I7">
        <v>0.39861111111111114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158</v>
      </c>
      <c r="S7">
        <v>0.41666666666666652</v>
      </c>
      <c r="T7">
        <v>0</v>
      </c>
      <c r="U7">
        <v>0</v>
      </c>
    </row>
    <row r="8" spans="1:23">
      <c r="A8">
        <v>44840</v>
      </c>
      <c r="B8" t="s">
        <v>84</v>
      </c>
      <c r="C8" t="s">
        <v>85</v>
      </c>
      <c r="D8" t="s">
        <v>163</v>
      </c>
      <c r="E8" t="s">
        <v>166</v>
      </c>
      <c r="F8" t="s">
        <v>162</v>
      </c>
      <c r="G8">
        <v>0.39861111111111114</v>
      </c>
      <c r="H8" t="s">
        <v>162</v>
      </c>
      <c r="I8">
        <v>0.86527777777777781</v>
      </c>
      <c r="J8">
        <v>0</v>
      </c>
      <c r="K8">
        <v>0</v>
      </c>
      <c r="L8">
        <v>0</v>
      </c>
      <c r="M8">
        <v>250</v>
      </c>
      <c r="N8">
        <v>0</v>
      </c>
      <c r="O8">
        <v>0</v>
      </c>
      <c r="P8" t="s">
        <v>158</v>
      </c>
      <c r="S8">
        <v>11.2</v>
      </c>
      <c r="T8">
        <v>250</v>
      </c>
      <c r="U8">
        <v>250</v>
      </c>
    </row>
    <row r="9" spans="1:23">
      <c r="A9">
        <v>44841</v>
      </c>
      <c r="B9" t="s">
        <v>84</v>
      </c>
      <c r="C9" t="s">
        <v>85</v>
      </c>
      <c r="D9" t="s">
        <v>163</v>
      </c>
      <c r="E9" t="s">
        <v>166</v>
      </c>
      <c r="F9" t="s">
        <v>162</v>
      </c>
      <c r="G9">
        <v>0.39374999999999999</v>
      </c>
      <c r="H9" t="s">
        <v>1017</v>
      </c>
      <c r="I9">
        <v>0.88749999999999996</v>
      </c>
      <c r="J9">
        <v>810</v>
      </c>
      <c r="K9">
        <v>0</v>
      </c>
      <c r="L9">
        <v>0</v>
      </c>
      <c r="M9">
        <v>250</v>
      </c>
      <c r="N9">
        <v>0</v>
      </c>
      <c r="O9">
        <v>0</v>
      </c>
      <c r="P9" t="s">
        <v>158</v>
      </c>
      <c r="S9">
        <v>11.85</v>
      </c>
      <c r="T9">
        <v>250</v>
      </c>
      <c r="U9">
        <v>1060</v>
      </c>
    </row>
    <row r="10" spans="1:23">
      <c r="A10">
        <v>44842</v>
      </c>
      <c r="B10" t="s">
        <v>84</v>
      </c>
      <c r="C10" t="s">
        <v>85</v>
      </c>
      <c r="D10" t="s">
        <v>163</v>
      </c>
      <c r="E10" t="s">
        <v>166</v>
      </c>
      <c r="F10" t="s">
        <v>1018</v>
      </c>
      <c r="G10">
        <v>0.38472222222222224</v>
      </c>
      <c r="H10" t="s">
        <v>1019</v>
      </c>
      <c r="I10">
        <v>0.84375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158</v>
      </c>
      <c r="S10">
        <v>11.016666666666667</v>
      </c>
      <c r="T10">
        <v>250</v>
      </c>
      <c r="U10">
        <v>250</v>
      </c>
    </row>
    <row r="11" spans="1:23">
      <c r="A11">
        <v>44844</v>
      </c>
      <c r="B11" t="s">
        <v>84</v>
      </c>
      <c r="C11" t="s">
        <v>85</v>
      </c>
      <c r="D11" t="s">
        <v>163</v>
      </c>
      <c r="E11" t="s">
        <v>166</v>
      </c>
      <c r="F11" t="s">
        <v>1020</v>
      </c>
      <c r="G11">
        <v>0.40416666666666667</v>
      </c>
      <c r="H11" t="s">
        <v>162</v>
      </c>
      <c r="I11">
        <v>0.89444444444444449</v>
      </c>
      <c r="J11">
        <v>510</v>
      </c>
      <c r="K11">
        <v>0</v>
      </c>
      <c r="L11">
        <v>0</v>
      </c>
      <c r="M11">
        <v>250</v>
      </c>
      <c r="N11">
        <v>0</v>
      </c>
      <c r="O11">
        <v>0</v>
      </c>
      <c r="P11" t="s">
        <v>158</v>
      </c>
      <c r="S11">
        <v>11.766666666666666</v>
      </c>
      <c r="T11">
        <v>250</v>
      </c>
      <c r="U11">
        <v>760</v>
      </c>
    </row>
    <row r="12" spans="1:23">
      <c r="A12">
        <v>44845</v>
      </c>
      <c r="B12" t="s">
        <v>84</v>
      </c>
      <c r="C12" t="s">
        <v>85</v>
      </c>
      <c r="D12" t="s">
        <v>163</v>
      </c>
      <c r="E12" t="s">
        <v>166</v>
      </c>
      <c r="F12" t="s">
        <v>162</v>
      </c>
      <c r="G12">
        <v>0.31388888888888888</v>
      </c>
      <c r="H12" t="s">
        <v>162</v>
      </c>
      <c r="I12">
        <v>0.86319444444444449</v>
      </c>
      <c r="J12">
        <v>0</v>
      </c>
      <c r="K12">
        <v>0</v>
      </c>
      <c r="L12">
        <v>0</v>
      </c>
      <c r="M12">
        <v>250</v>
      </c>
      <c r="N12">
        <v>0</v>
      </c>
      <c r="O12">
        <v>0</v>
      </c>
      <c r="P12" t="s">
        <v>158</v>
      </c>
      <c r="S12">
        <v>13.183333333333332</v>
      </c>
      <c r="T12">
        <v>250</v>
      </c>
      <c r="U12">
        <v>250</v>
      </c>
    </row>
    <row r="13" spans="1:23">
      <c r="A13">
        <v>44846</v>
      </c>
      <c r="B13" t="s">
        <v>84</v>
      </c>
      <c r="C13" t="s">
        <v>85</v>
      </c>
      <c r="D13" t="s">
        <v>163</v>
      </c>
      <c r="E13" t="s">
        <v>166</v>
      </c>
      <c r="F13" t="s">
        <v>162</v>
      </c>
      <c r="G13">
        <v>0.40625</v>
      </c>
      <c r="H13" t="s">
        <v>162</v>
      </c>
      <c r="I13">
        <v>0.92083333333333328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158</v>
      </c>
      <c r="S13">
        <v>12.349999999999998</v>
      </c>
      <c r="T13">
        <v>250</v>
      </c>
      <c r="U13">
        <v>250</v>
      </c>
    </row>
    <row r="14" spans="1:23">
      <c r="A14">
        <v>44847</v>
      </c>
      <c r="B14" t="s">
        <v>84</v>
      </c>
      <c r="C14" t="s">
        <v>85</v>
      </c>
      <c r="D14" t="s">
        <v>163</v>
      </c>
      <c r="E14" t="s">
        <v>166</v>
      </c>
      <c r="F14" t="s">
        <v>162</v>
      </c>
      <c r="G14">
        <v>0.39652777777777776</v>
      </c>
      <c r="H14" t="s">
        <v>162</v>
      </c>
      <c r="I14">
        <v>0.84861111111111109</v>
      </c>
      <c r="J14">
        <v>510</v>
      </c>
      <c r="K14">
        <v>0</v>
      </c>
      <c r="L14">
        <v>0</v>
      </c>
      <c r="M14">
        <v>250</v>
      </c>
      <c r="N14">
        <v>0</v>
      </c>
      <c r="O14">
        <v>0</v>
      </c>
      <c r="P14" t="s">
        <v>158</v>
      </c>
      <c r="S14">
        <v>10.85</v>
      </c>
      <c r="T14">
        <v>250</v>
      </c>
      <c r="U14">
        <v>760</v>
      </c>
    </row>
    <row r="15" spans="1:23">
      <c r="A15">
        <v>44848</v>
      </c>
      <c r="B15" t="s">
        <v>84</v>
      </c>
      <c r="C15" t="s">
        <v>85</v>
      </c>
      <c r="D15" t="s">
        <v>163</v>
      </c>
      <c r="E15" t="s">
        <v>166</v>
      </c>
      <c r="F15" t="s">
        <v>162</v>
      </c>
      <c r="G15">
        <v>0.39305555555555555</v>
      </c>
      <c r="H15" t="s">
        <v>1018</v>
      </c>
      <c r="I15">
        <v>0.24444444444444444</v>
      </c>
      <c r="J15">
        <v>820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158</v>
      </c>
      <c r="S15">
        <v>20.433333333333334</v>
      </c>
      <c r="T15">
        <v>250</v>
      </c>
      <c r="U15">
        <v>1070</v>
      </c>
    </row>
    <row r="16" spans="1:23">
      <c r="A16">
        <v>44835</v>
      </c>
      <c r="B16" t="s">
        <v>260</v>
      </c>
      <c r="C16" t="s">
        <v>261</v>
      </c>
      <c r="D16" t="s">
        <v>163</v>
      </c>
      <c r="E16" t="s">
        <v>171</v>
      </c>
      <c r="F16" t="s">
        <v>1021</v>
      </c>
      <c r="G16">
        <v>0.35347222222222224</v>
      </c>
      <c r="H16" t="s">
        <v>1022</v>
      </c>
      <c r="I16">
        <v>0.81111111111111112</v>
      </c>
      <c r="J16">
        <v>0</v>
      </c>
      <c r="K16">
        <v>0</v>
      </c>
      <c r="L16">
        <v>0</v>
      </c>
      <c r="M16">
        <v>100</v>
      </c>
      <c r="N16">
        <v>0</v>
      </c>
      <c r="O16">
        <v>0</v>
      </c>
      <c r="P16" t="s">
        <v>1023</v>
      </c>
      <c r="S16">
        <v>10.983333333333334</v>
      </c>
      <c r="T16">
        <v>125</v>
      </c>
      <c r="U16">
        <v>125</v>
      </c>
    </row>
    <row r="17" spans="1:21">
      <c r="A17">
        <v>44836</v>
      </c>
      <c r="B17" t="s">
        <v>260</v>
      </c>
      <c r="C17" t="s">
        <v>261</v>
      </c>
      <c r="D17" t="s">
        <v>163</v>
      </c>
      <c r="E17" t="s">
        <v>171</v>
      </c>
      <c r="F17" t="s">
        <v>1021</v>
      </c>
      <c r="G17">
        <v>0.3347222222222222</v>
      </c>
      <c r="H17" t="s">
        <v>1024</v>
      </c>
      <c r="I17">
        <v>0.58819444444444446</v>
      </c>
      <c r="J17">
        <v>700</v>
      </c>
      <c r="K17">
        <v>0</v>
      </c>
      <c r="L17">
        <v>0</v>
      </c>
      <c r="M17">
        <v>100</v>
      </c>
      <c r="N17">
        <v>0</v>
      </c>
      <c r="O17">
        <v>0</v>
      </c>
      <c r="P17" t="s">
        <v>1023</v>
      </c>
      <c r="S17">
        <v>6.0833333333333339</v>
      </c>
      <c r="T17">
        <v>62.5</v>
      </c>
      <c r="U17">
        <v>762.5</v>
      </c>
    </row>
    <row r="18" spans="1:21">
      <c r="A18">
        <v>44838</v>
      </c>
      <c r="B18" t="s">
        <v>260</v>
      </c>
      <c r="C18" t="s">
        <v>261</v>
      </c>
      <c r="D18" t="s">
        <v>163</v>
      </c>
      <c r="E18" t="s">
        <v>171</v>
      </c>
      <c r="F18" t="s">
        <v>1021</v>
      </c>
      <c r="G18">
        <v>0.34722222222222221</v>
      </c>
      <c r="H18" t="s">
        <v>1025</v>
      </c>
      <c r="I18">
        <v>0.76388888888888884</v>
      </c>
      <c r="J18">
        <v>0</v>
      </c>
      <c r="K18">
        <v>0</v>
      </c>
      <c r="L18">
        <v>0</v>
      </c>
      <c r="M18">
        <v>100</v>
      </c>
      <c r="N18">
        <v>0</v>
      </c>
      <c r="O18">
        <v>0</v>
      </c>
      <c r="P18" t="s">
        <v>1023</v>
      </c>
      <c r="S18">
        <v>10</v>
      </c>
      <c r="T18">
        <v>125</v>
      </c>
      <c r="U18">
        <v>125</v>
      </c>
    </row>
    <row r="19" spans="1:21">
      <c r="A19">
        <v>44840</v>
      </c>
      <c r="B19" t="s">
        <v>260</v>
      </c>
      <c r="C19" t="s">
        <v>261</v>
      </c>
      <c r="D19" t="s">
        <v>163</v>
      </c>
      <c r="E19" t="s">
        <v>171</v>
      </c>
      <c r="F19" t="s">
        <v>1025</v>
      </c>
      <c r="G19">
        <v>0.35833333333333334</v>
      </c>
      <c r="H19" t="s">
        <v>1021</v>
      </c>
      <c r="I19">
        <v>0.75</v>
      </c>
      <c r="J19">
        <v>0</v>
      </c>
      <c r="K19">
        <v>0</v>
      </c>
      <c r="L19">
        <v>0</v>
      </c>
      <c r="M19">
        <v>100</v>
      </c>
      <c r="N19">
        <v>0</v>
      </c>
      <c r="O19">
        <v>0</v>
      </c>
      <c r="P19" t="s">
        <v>1023</v>
      </c>
      <c r="S19">
        <v>9.4</v>
      </c>
      <c r="T19">
        <v>125</v>
      </c>
      <c r="U19">
        <v>125</v>
      </c>
    </row>
    <row r="20" spans="1:21">
      <c r="A20">
        <v>44841</v>
      </c>
      <c r="B20" t="s">
        <v>260</v>
      </c>
      <c r="C20" t="s">
        <v>261</v>
      </c>
      <c r="D20" t="s">
        <v>163</v>
      </c>
      <c r="E20" t="s">
        <v>171</v>
      </c>
      <c r="F20" t="s">
        <v>1021</v>
      </c>
      <c r="G20">
        <v>0.35972222222222222</v>
      </c>
      <c r="H20" t="s">
        <v>1022</v>
      </c>
      <c r="I20">
        <v>0.7944444444444444</v>
      </c>
      <c r="J20">
        <v>0</v>
      </c>
      <c r="K20">
        <v>0</v>
      </c>
      <c r="L20">
        <v>0</v>
      </c>
      <c r="M20">
        <v>100</v>
      </c>
      <c r="N20">
        <v>0</v>
      </c>
      <c r="O20">
        <v>0</v>
      </c>
      <c r="P20" t="s">
        <v>1023</v>
      </c>
      <c r="S20">
        <v>10.433333333333332</v>
      </c>
      <c r="T20">
        <v>125</v>
      </c>
      <c r="U20">
        <v>125</v>
      </c>
    </row>
    <row r="21" spans="1:21">
      <c r="A21">
        <v>44842</v>
      </c>
      <c r="B21" t="s">
        <v>260</v>
      </c>
      <c r="C21" t="s">
        <v>261</v>
      </c>
      <c r="D21" t="s">
        <v>163</v>
      </c>
      <c r="E21" t="s">
        <v>171</v>
      </c>
      <c r="F21" t="s">
        <v>1026</v>
      </c>
      <c r="G21">
        <v>0.33958333333333335</v>
      </c>
      <c r="H21" t="s">
        <v>1022</v>
      </c>
      <c r="I21">
        <v>0.83611111111111114</v>
      </c>
      <c r="J21">
        <v>500</v>
      </c>
      <c r="K21">
        <v>0</v>
      </c>
      <c r="L21">
        <v>0</v>
      </c>
      <c r="M21">
        <v>100</v>
      </c>
      <c r="N21">
        <v>0</v>
      </c>
      <c r="O21">
        <v>0</v>
      </c>
      <c r="P21" t="s">
        <v>1023</v>
      </c>
      <c r="S21">
        <v>11.916666666666666</v>
      </c>
      <c r="T21">
        <v>125</v>
      </c>
      <c r="U21">
        <v>625</v>
      </c>
    </row>
    <row r="22" spans="1:21">
      <c r="A22">
        <v>44844</v>
      </c>
      <c r="B22" t="s">
        <v>260</v>
      </c>
      <c r="C22" t="s">
        <v>261</v>
      </c>
      <c r="D22" t="s">
        <v>163</v>
      </c>
      <c r="E22" t="s">
        <v>171</v>
      </c>
      <c r="F22" t="s">
        <v>1022</v>
      </c>
      <c r="G22">
        <v>0.32222222222222224</v>
      </c>
      <c r="H22" t="s">
        <v>1025</v>
      </c>
      <c r="I22">
        <v>0.82986111111111116</v>
      </c>
      <c r="J22">
        <v>500</v>
      </c>
      <c r="K22">
        <v>0</v>
      </c>
      <c r="L22">
        <v>0</v>
      </c>
      <c r="M22">
        <v>100</v>
      </c>
      <c r="N22">
        <v>150</v>
      </c>
      <c r="O22">
        <v>0</v>
      </c>
      <c r="P22" t="s">
        <v>1023</v>
      </c>
      <c r="S22">
        <v>12.183333333333334</v>
      </c>
      <c r="T22">
        <v>125</v>
      </c>
      <c r="U22">
        <v>775</v>
      </c>
    </row>
    <row r="23" spans="1:21">
      <c r="A23">
        <v>44845</v>
      </c>
      <c r="B23" t="s">
        <v>260</v>
      </c>
      <c r="C23" t="s">
        <v>261</v>
      </c>
      <c r="D23" t="s">
        <v>163</v>
      </c>
      <c r="E23" t="s">
        <v>171</v>
      </c>
      <c r="F23" t="s">
        <v>1022</v>
      </c>
      <c r="G23">
        <v>0.32361111111111113</v>
      </c>
      <c r="H23" t="s">
        <v>1025</v>
      </c>
      <c r="I23">
        <v>0.78055555555555556</v>
      </c>
      <c r="J23">
        <v>600</v>
      </c>
      <c r="K23">
        <v>0</v>
      </c>
      <c r="L23">
        <v>0</v>
      </c>
      <c r="M23">
        <v>100</v>
      </c>
      <c r="N23">
        <v>0</v>
      </c>
      <c r="O23">
        <v>0</v>
      </c>
      <c r="P23" t="s">
        <v>1023</v>
      </c>
      <c r="S23">
        <v>10.966666666666669</v>
      </c>
      <c r="T23">
        <v>125</v>
      </c>
      <c r="U23">
        <v>725</v>
      </c>
    </row>
    <row r="24" spans="1:21">
      <c r="A24">
        <v>44846</v>
      </c>
      <c r="B24" t="s">
        <v>260</v>
      </c>
      <c r="C24" t="s">
        <v>261</v>
      </c>
      <c r="D24" t="s">
        <v>163</v>
      </c>
      <c r="E24" t="s">
        <v>171</v>
      </c>
      <c r="F24" t="s">
        <v>1027</v>
      </c>
      <c r="G24">
        <v>0.31180555555555556</v>
      </c>
      <c r="H24" t="s">
        <v>1021</v>
      </c>
      <c r="I24">
        <v>0.83125000000000004</v>
      </c>
      <c r="J24">
        <v>0</v>
      </c>
      <c r="K24">
        <v>0</v>
      </c>
      <c r="L24">
        <v>0</v>
      </c>
      <c r="M24">
        <v>100</v>
      </c>
      <c r="N24">
        <v>0</v>
      </c>
      <c r="O24">
        <v>0</v>
      </c>
      <c r="P24" t="s">
        <v>1023</v>
      </c>
      <c r="S24">
        <v>12.466666666666665</v>
      </c>
      <c r="T24">
        <v>125</v>
      </c>
      <c r="U24">
        <v>125</v>
      </c>
    </row>
    <row r="25" spans="1:21">
      <c r="A25">
        <v>44847</v>
      </c>
      <c r="B25" t="s">
        <v>260</v>
      </c>
      <c r="C25" t="s">
        <v>261</v>
      </c>
      <c r="D25" t="s">
        <v>163</v>
      </c>
      <c r="E25" t="s">
        <v>171</v>
      </c>
      <c r="F25" t="s">
        <v>1027</v>
      </c>
      <c r="G25">
        <v>0.31458333333333333</v>
      </c>
      <c r="H25" t="s">
        <v>1028</v>
      </c>
      <c r="I25">
        <v>4.2361111111111113E-2</v>
      </c>
      <c r="J25">
        <v>40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1023</v>
      </c>
      <c r="S25">
        <v>17.466666666666669</v>
      </c>
      <c r="T25">
        <v>125</v>
      </c>
      <c r="U25">
        <v>165</v>
      </c>
    </row>
    <row r="26" spans="1:21">
      <c r="A26">
        <v>44848</v>
      </c>
      <c r="B26" t="s">
        <v>260</v>
      </c>
      <c r="C26" t="s">
        <v>261</v>
      </c>
      <c r="D26" t="s">
        <v>163</v>
      </c>
      <c r="E26" t="s">
        <v>171</v>
      </c>
      <c r="F26" t="s">
        <v>1028</v>
      </c>
      <c r="G26">
        <v>4.2361111111111113E-2</v>
      </c>
      <c r="H26" t="s">
        <v>1029</v>
      </c>
      <c r="I26">
        <v>0.9604166666666667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1023</v>
      </c>
      <c r="S26">
        <v>22.033333333333331</v>
      </c>
      <c r="T26">
        <v>125</v>
      </c>
      <c r="U26">
        <v>125</v>
      </c>
    </row>
    <row r="27" spans="1:21">
      <c r="A27">
        <v>44849</v>
      </c>
      <c r="B27" t="s">
        <v>260</v>
      </c>
      <c r="C27" t="s">
        <v>261</v>
      </c>
      <c r="D27" t="s">
        <v>163</v>
      </c>
      <c r="E27" t="s">
        <v>171</v>
      </c>
      <c r="F27" t="s">
        <v>1030</v>
      </c>
      <c r="G27">
        <v>0.41111111111111109</v>
      </c>
      <c r="H27" t="s">
        <v>1029</v>
      </c>
      <c r="I27">
        <v>0.40625</v>
      </c>
      <c r="J27">
        <v>650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1023</v>
      </c>
      <c r="S27">
        <v>23.883333333333333</v>
      </c>
      <c r="T27">
        <v>125</v>
      </c>
      <c r="U27">
        <v>775</v>
      </c>
    </row>
    <row r="28" spans="1:21">
      <c r="A28">
        <v>44837</v>
      </c>
      <c r="B28" t="s">
        <v>53</v>
      </c>
      <c r="C28" t="s">
        <v>54</v>
      </c>
      <c r="D28" t="s">
        <v>163</v>
      </c>
      <c r="E28" t="s">
        <v>167</v>
      </c>
      <c r="F28" t="s">
        <v>1031</v>
      </c>
      <c r="G28">
        <v>0.43958333333333333</v>
      </c>
      <c r="H28" t="s">
        <v>1032</v>
      </c>
      <c r="I28">
        <v>0.77083333333333337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 t="s">
        <v>172</v>
      </c>
      <c r="S28">
        <v>7.9499999999999984</v>
      </c>
      <c r="T28">
        <v>100</v>
      </c>
      <c r="U28">
        <v>100</v>
      </c>
    </row>
    <row r="29" spans="1:21">
      <c r="A29">
        <v>44838</v>
      </c>
      <c r="B29" t="s">
        <v>53</v>
      </c>
      <c r="C29" t="s">
        <v>54</v>
      </c>
      <c r="D29" t="s">
        <v>163</v>
      </c>
      <c r="E29" t="s">
        <v>167</v>
      </c>
      <c r="G29">
        <v>0.38958333333333334</v>
      </c>
      <c r="H29" t="s">
        <v>1033</v>
      </c>
      <c r="I29">
        <v>0.89097222222222228</v>
      </c>
      <c r="J29">
        <v>200</v>
      </c>
      <c r="K29">
        <v>0</v>
      </c>
      <c r="L29">
        <v>0</v>
      </c>
      <c r="M29">
        <v>200</v>
      </c>
      <c r="N29">
        <v>0</v>
      </c>
      <c r="O29">
        <v>0</v>
      </c>
      <c r="P29" t="s">
        <v>172</v>
      </c>
      <c r="S29">
        <v>12.033333333333333</v>
      </c>
      <c r="T29">
        <v>200</v>
      </c>
      <c r="U29">
        <v>400</v>
      </c>
    </row>
    <row r="30" spans="1:21">
      <c r="A30">
        <v>44840</v>
      </c>
      <c r="B30" t="s">
        <v>53</v>
      </c>
      <c r="C30" t="s">
        <v>54</v>
      </c>
      <c r="D30" t="s">
        <v>163</v>
      </c>
      <c r="E30" t="s">
        <v>167</v>
      </c>
      <c r="F30" t="s">
        <v>1034</v>
      </c>
      <c r="G30">
        <v>0.38333333333333336</v>
      </c>
      <c r="H30" t="s">
        <v>1035</v>
      </c>
      <c r="I30">
        <v>0.84166666666666667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 t="s">
        <v>172</v>
      </c>
      <c r="S30">
        <v>11</v>
      </c>
      <c r="T30">
        <v>200</v>
      </c>
      <c r="U30">
        <v>200</v>
      </c>
    </row>
    <row r="31" spans="1:21">
      <c r="A31">
        <v>44841</v>
      </c>
      <c r="B31" t="s">
        <v>53</v>
      </c>
      <c r="C31" t="s">
        <v>54</v>
      </c>
      <c r="D31" t="s">
        <v>163</v>
      </c>
      <c r="E31" t="s">
        <v>167</v>
      </c>
      <c r="F31" t="s">
        <v>1033</v>
      </c>
      <c r="G31">
        <v>0.41944444444444445</v>
      </c>
      <c r="H31" t="s">
        <v>178</v>
      </c>
      <c r="I31">
        <v>0.85347222222222219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 t="s">
        <v>172</v>
      </c>
      <c r="S31">
        <v>10.416666666666666</v>
      </c>
      <c r="T31">
        <v>200</v>
      </c>
      <c r="U31">
        <v>200</v>
      </c>
    </row>
    <row r="32" spans="1:21">
      <c r="A32">
        <v>44842</v>
      </c>
      <c r="B32" t="s">
        <v>53</v>
      </c>
      <c r="C32" t="s">
        <v>54</v>
      </c>
      <c r="D32" t="s">
        <v>163</v>
      </c>
      <c r="E32" t="s">
        <v>167</v>
      </c>
      <c r="F32" t="s">
        <v>1036</v>
      </c>
      <c r="G32">
        <v>0.38750000000000001</v>
      </c>
      <c r="H32" t="s">
        <v>1032</v>
      </c>
      <c r="I32">
        <v>0.90833333333333333</v>
      </c>
      <c r="J32">
        <v>300</v>
      </c>
      <c r="K32">
        <v>0</v>
      </c>
      <c r="L32">
        <v>0</v>
      </c>
      <c r="M32">
        <v>200</v>
      </c>
      <c r="N32">
        <v>0</v>
      </c>
      <c r="O32">
        <v>0</v>
      </c>
      <c r="P32" t="s">
        <v>172</v>
      </c>
      <c r="S32">
        <v>12.499999999999998</v>
      </c>
      <c r="T32">
        <v>200</v>
      </c>
      <c r="U32">
        <v>500</v>
      </c>
    </row>
    <row r="33" spans="1:21">
      <c r="A33">
        <v>44844</v>
      </c>
      <c r="B33" t="s">
        <v>53</v>
      </c>
      <c r="C33" t="s">
        <v>54</v>
      </c>
      <c r="D33" t="s">
        <v>163</v>
      </c>
      <c r="E33" t="s">
        <v>167</v>
      </c>
      <c r="F33" t="s">
        <v>1037</v>
      </c>
      <c r="G33">
        <v>0.37986111111111109</v>
      </c>
      <c r="H33" t="s">
        <v>1038</v>
      </c>
      <c r="I33">
        <v>0.89652777777777781</v>
      </c>
      <c r="J33">
        <v>500</v>
      </c>
      <c r="K33">
        <v>0</v>
      </c>
      <c r="L33">
        <v>0</v>
      </c>
      <c r="M33">
        <v>200</v>
      </c>
      <c r="N33">
        <v>0</v>
      </c>
      <c r="O33">
        <v>0</v>
      </c>
      <c r="P33" t="s">
        <v>172</v>
      </c>
      <c r="S33">
        <v>12.399999999999999</v>
      </c>
      <c r="T33">
        <v>200</v>
      </c>
      <c r="U33">
        <v>700</v>
      </c>
    </row>
    <row r="34" spans="1:21">
      <c r="A34">
        <v>44845</v>
      </c>
      <c r="B34" t="s">
        <v>53</v>
      </c>
      <c r="C34" t="s">
        <v>54</v>
      </c>
      <c r="D34" t="s">
        <v>163</v>
      </c>
      <c r="E34" t="s">
        <v>167</v>
      </c>
      <c r="F34" t="s">
        <v>1033</v>
      </c>
      <c r="G34">
        <v>0.38055555555555554</v>
      </c>
      <c r="H34" t="s">
        <v>1035</v>
      </c>
      <c r="I34">
        <v>0.8979166666666667</v>
      </c>
      <c r="J34">
        <v>0</v>
      </c>
      <c r="K34">
        <v>0</v>
      </c>
      <c r="L34">
        <v>0</v>
      </c>
      <c r="M34">
        <v>200</v>
      </c>
      <c r="N34">
        <v>0</v>
      </c>
      <c r="O34">
        <v>0</v>
      </c>
      <c r="P34" t="s">
        <v>172</v>
      </c>
      <c r="S34">
        <v>12.416666666666664</v>
      </c>
      <c r="T34">
        <v>200</v>
      </c>
      <c r="U34">
        <v>200</v>
      </c>
    </row>
    <row r="35" spans="1:21">
      <c r="A35">
        <v>44846</v>
      </c>
      <c r="B35" t="s">
        <v>53</v>
      </c>
      <c r="C35" t="s">
        <v>54</v>
      </c>
      <c r="D35" t="s">
        <v>163</v>
      </c>
      <c r="E35" t="s">
        <v>167</v>
      </c>
      <c r="F35" t="s">
        <v>1032</v>
      </c>
      <c r="G35">
        <v>0.41111111111111109</v>
      </c>
      <c r="H35" t="s">
        <v>1033</v>
      </c>
      <c r="I35">
        <v>0.38472222222222224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 t="s">
        <v>172</v>
      </c>
      <c r="S35">
        <v>23.366666666666667</v>
      </c>
      <c r="T35">
        <v>200</v>
      </c>
      <c r="U35">
        <v>200</v>
      </c>
    </row>
    <row r="36" spans="1:21">
      <c r="A36">
        <v>44847</v>
      </c>
      <c r="B36" t="s">
        <v>53</v>
      </c>
      <c r="C36" t="s">
        <v>54</v>
      </c>
      <c r="D36" t="s">
        <v>163</v>
      </c>
      <c r="E36" t="s">
        <v>167</v>
      </c>
      <c r="F36" t="s">
        <v>1033</v>
      </c>
      <c r="G36">
        <v>0.38472222222222224</v>
      </c>
      <c r="H36" t="s">
        <v>1035</v>
      </c>
      <c r="I36">
        <v>0.85416666666666663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 t="s">
        <v>172</v>
      </c>
      <c r="S36">
        <v>11.266666666666666</v>
      </c>
      <c r="T36">
        <v>200</v>
      </c>
      <c r="U36">
        <v>200</v>
      </c>
    </row>
    <row r="37" spans="1:21">
      <c r="A37">
        <v>44848</v>
      </c>
      <c r="B37" t="s">
        <v>53</v>
      </c>
      <c r="C37" t="s">
        <v>54</v>
      </c>
      <c r="D37" t="s">
        <v>163</v>
      </c>
      <c r="E37" t="s">
        <v>167</v>
      </c>
      <c r="F37" t="s">
        <v>1039</v>
      </c>
      <c r="G37">
        <v>0.39166666666666666</v>
      </c>
      <c r="H37" t="s">
        <v>1040</v>
      </c>
      <c r="I37">
        <v>0.90486111111111112</v>
      </c>
      <c r="J37">
        <v>500</v>
      </c>
      <c r="K37">
        <v>0</v>
      </c>
      <c r="L37">
        <v>0</v>
      </c>
      <c r="M37">
        <v>200</v>
      </c>
      <c r="N37">
        <v>0</v>
      </c>
      <c r="O37">
        <v>0</v>
      </c>
      <c r="P37" t="s">
        <v>172</v>
      </c>
      <c r="S37">
        <v>12.316666666666668</v>
      </c>
      <c r="T37">
        <v>200</v>
      </c>
      <c r="U37">
        <v>700</v>
      </c>
    </row>
    <row r="38" spans="1:21">
      <c r="A38">
        <v>44849</v>
      </c>
      <c r="B38" t="s">
        <v>53</v>
      </c>
      <c r="C38" t="s">
        <v>54</v>
      </c>
      <c r="D38" t="s">
        <v>163</v>
      </c>
      <c r="E38" t="s">
        <v>167</v>
      </c>
      <c r="F38" t="s">
        <v>1035</v>
      </c>
      <c r="G38">
        <v>0.39583333333333331</v>
      </c>
      <c r="H38" t="s">
        <v>1041</v>
      </c>
      <c r="I38">
        <v>0.4548611111111111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 t="s">
        <v>172</v>
      </c>
      <c r="S38">
        <v>1.416666666666667</v>
      </c>
      <c r="T38">
        <v>0</v>
      </c>
      <c r="U38">
        <v>0</v>
      </c>
    </row>
    <row r="39" spans="1:21">
      <c r="A39">
        <v>44835</v>
      </c>
      <c r="B39" t="s">
        <v>283</v>
      </c>
      <c r="C39" t="s">
        <v>284</v>
      </c>
      <c r="D39" t="s">
        <v>227</v>
      </c>
      <c r="E39" t="s">
        <v>171</v>
      </c>
      <c r="F39" t="s">
        <v>1042</v>
      </c>
      <c r="G39">
        <v>0.27986111111111112</v>
      </c>
      <c r="H39" t="s">
        <v>1043</v>
      </c>
      <c r="I39">
        <v>0.85069444444444442</v>
      </c>
      <c r="J39">
        <v>1048</v>
      </c>
      <c r="K39">
        <v>0</v>
      </c>
      <c r="L39">
        <v>100</v>
      </c>
      <c r="M39">
        <v>0</v>
      </c>
      <c r="N39">
        <v>0</v>
      </c>
      <c r="O39">
        <v>0</v>
      </c>
      <c r="P39" t="s">
        <v>1044</v>
      </c>
      <c r="S39">
        <v>13.7</v>
      </c>
      <c r="T39">
        <v>125</v>
      </c>
      <c r="U39">
        <v>1273</v>
      </c>
    </row>
    <row r="40" spans="1:21">
      <c r="A40">
        <v>44837</v>
      </c>
      <c r="B40" t="s">
        <v>283</v>
      </c>
      <c r="C40" t="s">
        <v>284</v>
      </c>
      <c r="D40" t="s">
        <v>227</v>
      </c>
      <c r="E40" t="s">
        <v>171</v>
      </c>
      <c r="F40" t="s">
        <v>1045</v>
      </c>
      <c r="G40">
        <v>0.39652777777777776</v>
      </c>
      <c r="H40" t="s">
        <v>1043</v>
      </c>
      <c r="I40">
        <v>0.86875000000000002</v>
      </c>
      <c r="J40">
        <v>0</v>
      </c>
      <c r="K40">
        <v>0</v>
      </c>
      <c r="L40">
        <v>100</v>
      </c>
      <c r="M40">
        <v>0</v>
      </c>
      <c r="N40">
        <v>0</v>
      </c>
      <c r="O40">
        <v>0</v>
      </c>
      <c r="P40" t="s">
        <v>1044</v>
      </c>
      <c r="S40">
        <v>11.333333333333332</v>
      </c>
      <c r="T40">
        <v>125</v>
      </c>
      <c r="U40">
        <v>225</v>
      </c>
    </row>
    <row r="41" spans="1:21">
      <c r="A41">
        <v>44838</v>
      </c>
      <c r="B41" t="s">
        <v>283</v>
      </c>
      <c r="C41" t="s">
        <v>284</v>
      </c>
      <c r="D41" t="s">
        <v>227</v>
      </c>
      <c r="E41" t="s">
        <v>171</v>
      </c>
      <c r="F41" t="s">
        <v>1046</v>
      </c>
      <c r="G41">
        <v>0.49375000000000002</v>
      </c>
      <c r="H41" t="s">
        <v>1047</v>
      </c>
      <c r="I41">
        <v>0.84097222222222223</v>
      </c>
      <c r="J41">
        <v>0</v>
      </c>
      <c r="K41">
        <v>0</v>
      </c>
      <c r="L41">
        <v>100</v>
      </c>
      <c r="M41">
        <v>0</v>
      </c>
      <c r="N41">
        <v>0</v>
      </c>
      <c r="O41">
        <v>0</v>
      </c>
      <c r="P41" t="s">
        <v>1044</v>
      </c>
      <c r="S41">
        <v>8.3333333333333339</v>
      </c>
      <c r="T41">
        <v>125</v>
      </c>
      <c r="U41">
        <v>225</v>
      </c>
    </row>
    <row r="42" spans="1:21">
      <c r="A42">
        <v>44841</v>
      </c>
      <c r="B42" t="s">
        <v>283</v>
      </c>
      <c r="C42" t="s">
        <v>284</v>
      </c>
      <c r="D42" t="s">
        <v>227</v>
      </c>
      <c r="E42" t="s">
        <v>171</v>
      </c>
      <c r="F42" t="s">
        <v>1048</v>
      </c>
      <c r="G42">
        <v>0.38750000000000001</v>
      </c>
      <c r="H42" t="s">
        <v>1049</v>
      </c>
      <c r="I42">
        <v>0.61944444444444446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 t="s">
        <v>1044</v>
      </c>
      <c r="S42">
        <v>5.5666666666666664</v>
      </c>
      <c r="T42">
        <v>62.5</v>
      </c>
      <c r="U42">
        <v>62.5</v>
      </c>
    </row>
    <row r="43" spans="1:21">
      <c r="A43">
        <v>44842</v>
      </c>
      <c r="B43" t="s">
        <v>283</v>
      </c>
      <c r="C43" t="s">
        <v>284</v>
      </c>
      <c r="D43" t="s">
        <v>227</v>
      </c>
      <c r="E43" t="s">
        <v>171</v>
      </c>
      <c r="F43" t="s">
        <v>1050</v>
      </c>
      <c r="G43">
        <v>0.31944444444444442</v>
      </c>
      <c r="H43" t="s">
        <v>1051</v>
      </c>
      <c r="I43">
        <v>0.97916666666666663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 t="s">
        <v>1044</v>
      </c>
      <c r="S43">
        <v>15.833333333333332</v>
      </c>
      <c r="T43">
        <v>125</v>
      </c>
      <c r="U43">
        <v>125</v>
      </c>
    </row>
    <row r="44" spans="1:21">
      <c r="A44">
        <v>44844</v>
      </c>
      <c r="B44" t="s">
        <v>283</v>
      </c>
      <c r="C44" t="s">
        <v>284</v>
      </c>
      <c r="D44" t="s">
        <v>227</v>
      </c>
      <c r="E44" t="s">
        <v>171</v>
      </c>
      <c r="F44" t="s">
        <v>178</v>
      </c>
      <c r="G44">
        <v>0.3347222222222222</v>
      </c>
      <c r="H44" t="s">
        <v>1043</v>
      </c>
      <c r="I44">
        <v>0.87569444444444444</v>
      </c>
      <c r="J44">
        <v>300</v>
      </c>
      <c r="K44">
        <v>0</v>
      </c>
      <c r="L44">
        <v>100</v>
      </c>
      <c r="M44">
        <v>0</v>
      </c>
      <c r="N44">
        <v>0</v>
      </c>
      <c r="O44">
        <v>0</v>
      </c>
      <c r="P44" t="s">
        <v>1044</v>
      </c>
      <c r="S44">
        <v>12.983333333333333</v>
      </c>
      <c r="T44">
        <v>125</v>
      </c>
      <c r="U44">
        <v>525</v>
      </c>
    </row>
    <row r="45" spans="1:21">
      <c r="A45">
        <v>44845</v>
      </c>
      <c r="B45" t="s">
        <v>283</v>
      </c>
      <c r="C45" t="s">
        <v>284</v>
      </c>
      <c r="D45" t="s">
        <v>227</v>
      </c>
      <c r="E45" t="s">
        <v>171</v>
      </c>
      <c r="F45" t="s">
        <v>1052</v>
      </c>
      <c r="G45">
        <v>0.34027777777777779</v>
      </c>
      <c r="H45" t="s">
        <v>1045</v>
      </c>
      <c r="I45">
        <v>0.89583333333333337</v>
      </c>
      <c r="J45">
        <v>220</v>
      </c>
      <c r="K45">
        <v>0</v>
      </c>
      <c r="L45">
        <v>100</v>
      </c>
      <c r="M45">
        <v>0</v>
      </c>
      <c r="N45">
        <v>0</v>
      </c>
      <c r="O45">
        <v>0</v>
      </c>
      <c r="P45" t="s">
        <v>1044</v>
      </c>
      <c r="S45">
        <v>13.333333333333332</v>
      </c>
      <c r="T45">
        <v>125</v>
      </c>
      <c r="U45">
        <v>445</v>
      </c>
    </row>
    <row r="46" spans="1:21">
      <c r="A46">
        <v>44846</v>
      </c>
      <c r="B46" t="s">
        <v>283</v>
      </c>
      <c r="C46" t="s">
        <v>284</v>
      </c>
      <c r="D46" t="s">
        <v>227</v>
      </c>
      <c r="E46" t="s">
        <v>171</v>
      </c>
      <c r="F46" t="s">
        <v>178</v>
      </c>
      <c r="G46">
        <v>0.34930555555555554</v>
      </c>
      <c r="H46" t="s">
        <v>1043</v>
      </c>
      <c r="I46">
        <v>0.875</v>
      </c>
      <c r="J46">
        <v>110</v>
      </c>
      <c r="K46">
        <v>0</v>
      </c>
      <c r="L46">
        <v>100</v>
      </c>
      <c r="M46">
        <v>0</v>
      </c>
      <c r="N46">
        <v>0</v>
      </c>
      <c r="O46">
        <v>0</v>
      </c>
      <c r="P46" t="s">
        <v>1044</v>
      </c>
      <c r="S46">
        <v>12.616666666666667</v>
      </c>
      <c r="T46">
        <v>125</v>
      </c>
      <c r="U46">
        <v>335</v>
      </c>
    </row>
    <row r="47" spans="1:21">
      <c r="A47">
        <v>44847</v>
      </c>
      <c r="B47" t="s">
        <v>283</v>
      </c>
      <c r="C47" t="s">
        <v>284</v>
      </c>
      <c r="D47" t="s">
        <v>227</v>
      </c>
      <c r="E47" t="s">
        <v>171</v>
      </c>
      <c r="F47" t="s">
        <v>1047</v>
      </c>
      <c r="G47">
        <v>0.31458333333333333</v>
      </c>
      <c r="H47" t="s">
        <v>1043</v>
      </c>
      <c r="I47">
        <v>0.83263888888888893</v>
      </c>
      <c r="J47">
        <v>500</v>
      </c>
      <c r="K47">
        <v>0</v>
      </c>
      <c r="L47">
        <v>100</v>
      </c>
      <c r="M47">
        <v>0</v>
      </c>
      <c r="N47">
        <v>0</v>
      </c>
      <c r="O47">
        <v>0</v>
      </c>
      <c r="P47" t="s">
        <v>1044</v>
      </c>
      <c r="S47">
        <v>12.433333333333332</v>
      </c>
      <c r="T47">
        <v>125</v>
      </c>
      <c r="U47">
        <v>725</v>
      </c>
    </row>
    <row r="48" spans="1:21">
      <c r="A48">
        <v>44848</v>
      </c>
      <c r="B48" t="s">
        <v>283</v>
      </c>
      <c r="C48" t="s">
        <v>284</v>
      </c>
      <c r="D48" t="s">
        <v>227</v>
      </c>
      <c r="E48" t="s">
        <v>171</v>
      </c>
      <c r="F48" t="s">
        <v>178</v>
      </c>
      <c r="G48">
        <v>0.2986111111111111</v>
      </c>
      <c r="H48" t="s">
        <v>1043</v>
      </c>
      <c r="I48">
        <v>0.87847222222222221</v>
      </c>
      <c r="J48">
        <v>0</v>
      </c>
      <c r="K48">
        <v>0</v>
      </c>
      <c r="L48">
        <v>100</v>
      </c>
      <c r="M48">
        <v>0</v>
      </c>
      <c r="N48">
        <v>0</v>
      </c>
      <c r="O48">
        <v>0</v>
      </c>
      <c r="P48" t="s">
        <v>1044</v>
      </c>
      <c r="S48">
        <v>13.916666666666668</v>
      </c>
      <c r="T48">
        <v>125</v>
      </c>
      <c r="U48">
        <v>225</v>
      </c>
    </row>
    <row r="49" spans="1:21">
      <c r="A49">
        <v>44849</v>
      </c>
      <c r="B49" t="s">
        <v>283</v>
      </c>
      <c r="C49" t="s">
        <v>284</v>
      </c>
      <c r="D49" t="s">
        <v>227</v>
      </c>
      <c r="E49" t="s">
        <v>171</v>
      </c>
      <c r="F49" t="s">
        <v>1047</v>
      </c>
      <c r="G49">
        <v>0.3298611111111111</v>
      </c>
      <c r="H49" t="s">
        <v>1043</v>
      </c>
      <c r="I49">
        <v>0.87361111111111112</v>
      </c>
      <c r="J49">
        <v>200</v>
      </c>
      <c r="K49">
        <v>0</v>
      </c>
      <c r="L49">
        <v>100</v>
      </c>
      <c r="M49">
        <v>0</v>
      </c>
      <c r="N49">
        <v>0</v>
      </c>
      <c r="O49">
        <v>0</v>
      </c>
      <c r="P49" t="s">
        <v>1044</v>
      </c>
      <c r="S49">
        <v>13.049999999999999</v>
      </c>
      <c r="T49">
        <v>125</v>
      </c>
      <c r="U49">
        <v>425</v>
      </c>
    </row>
    <row r="50" spans="1:21">
      <c r="A50">
        <v>44835</v>
      </c>
      <c r="B50" t="s">
        <v>293</v>
      </c>
      <c r="C50" t="s">
        <v>294</v>
      </c>
      <c r="D50" t="s">
        <v>163</v>
      </c>
      <c r="E50" t="s">
        <v>168</v>
      </c>
      <c r="F50" t="s">
        <v>1053</v>
      </c>
      <c r="G50">
        <v>0.3659722222222222</v>
      </c>
      <c r="H50" t="s">
        <v>1053</v>
      </c>
      <c r="I50">
        <v>0.7416666666666667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 t="s">
        <v>1054</v>
      </c>
      <c r="S50">
        <v>9.0166666666666657</v>
      </c>
      <c r="T50">
        <v>250</v>
      </c>
      <c r="U50">
        <v>250</v>
      </c>
    </row>
    <row r="51" spans="1:21">
      <c r="A51">
        <v>44837</v>
      </c>
      <c r="B51" t="s">
        <v>293</v>
      </c>
      <c r="C51" t="s">
        <v>294</v>
      </c>
      <c r="D51" t="s">
        <v>163</v>
      </c>
      <c r="E51" t="s">
        <v>168</v>
      </c>
      <c r="F51" t="s">
        <v>1055</v>
      </c>
      <c r="G51">
        <v>0.38263888888888886</v>
      </c>
      <c r="H51" t="s">
        <v>1055</v>
      </c>
      <c r="I51">
        <v>0.78888888888888886</v>
      </c>
      <c r="J51">
        <v>0</v>
      </c>
      <c r="K51">
        <v>0</v>
      </c>
      <c r="L51">
        <v>250</v>
      </c>
      <c r="M51">
        <v>0</v>
      </c>
      <c r="N51">
        <v>0</v>
      </c>
      <c r="O51">
        <v>0</v>
      </c>
      <c r="P51" t="s">
        <v>1054</v>
      </c>
      <c r="S51">
        <v>9.75</v>
      </c>
      <c r="T51">
        <v>250</v>
      </c>
      <c r="U51">
        <v>500</v>
      </c>
    </row>
    <row r="52" spans="1:21">
      <c r="A52">
        <v>44838</v>
      </c>
      <c r="B52" t="s">
        <v>293</v>
      </c>
      <c r="C52" t="s">
        <v>294</v>
      </c>
      <c r="D52" t="s">
        <v>163</v>
      </c>
      <c r="E52" t="s">
        <v>168</v>
      </c>
      <c r="F52" t="s">
        <v>1053</v>
      </c>
      <c r="G52">
        <v>0.29722222222222222</v>
      </c>
      <c r="H52" t="s">
        <v>1053</v>
      </c>
      <c r="I52">
        <v>0.80625000000000002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 t="s">
        <v>1054</v>
      </c>
      <c r="S52">
        <v>12.216666666666669</v>
      </c>
      <c r="T52">
        <v>250</v>
      </c>
      <c r="U52">
        <v>250</v>
      </c>
    </row>
    <row r="53" spans="1:21">
      <c r="A53">
        <v>44839</v>
      </c>
      <c r="B53" t="s">
        <v>293</v>
      </c>
      <c r="C53" t="s">
        <v>294</v>
      </c>
      <c r="D53" t="s">
        <v>163</v>
      </c>
      <c r="E53" t="s">
        <v>168</v>
      </c>
      <c r="F53" t="s">
        <v>1055</v>
      </c>
      <c r="G53">
        <v>0.37013888888888891</v>
      </c>
      <c r="H53" t="s">
        <v>1053</v>
      </c>
      <c r="I53">
        <v>0.71458333333333335</v>
      </c>
      <c r="J53">
        <v>0</v>
      </c>
      <c r="K53">
        <v>0</v>
      </c>
      <c r="L53">
        <v>250</v>
      </c>
      <c r="M53">
        <v>0</v>
      </c>
      <c r="N53">
        <v>0</v>
      </c>
      <c r="O53">
        <v>0</v>
      </c>
      <c r="P53" t="s">
        <v>1054</v>
      </c>
      <c r="S53">
        <v>8.2666666666666675</v>
      </c>
      <c r="T53">
        <v>250</v>
      </c>
      <c r="U53">
        <v>500</v>
      </c>
    </row>
    <row r="54" spans="1:21">
      <c r="A54">
        <v>44840</v>
      </c>
      <c r="B54" t="s">
        <v>293</v>
      </c>
      <c r="C54" t="s">
        <v>294</v>
      </c>
      <c r="D54" t="s">
        <v>163</v>
      </c>
      <c r="E54" t="s">
        <v>168</v>
      </c>
      <c r="F54" t="s">
        <v>1055</v>
      </c>
      <c r="G54">
        <v>0.3576388888888889</v>
      </c>
      <c r="H54" t="s">
        <v>1053</v>
      </c>
      <c r="I54">
        <v>0.75277777777777777</v>
      </c>
      <c r="J54">
        <v>0</v>
      </c>
      <c r="K54">
        <v>0</v>
      </c>
      <c r="L54">
        <v>250</v>
      </c>
      <c r="M54">
        <v>0</v>
      </c>
      <c r="N54">
        <v>0</v>
      </c>
      <c r="O54">
        <v>0</v>
      </c>
      <c r="P54" t="s">
        <v>1054</v>
      </c>
      <c r="S54">
        <v>9.4833333333333325</v>
      </c>
      <c r="T54">
        <v>250</v>
      </c>
      <c r="U54">
        <v>500</v>
      </c>
    </row>
    <row r="55" spans="1:21">
      <c r="A55">
        <v>44841</v>
      </c>
      <c r="B55" t="s">
        <v>293</v>
      </c>
      <c r="C55" t="s">
        <v>294</v>
      </c>
      <c r="D55" t="s">
        <v>163</v>
      </c>
      <c r="E55" t="s">
        <v>168</v>
      </c>
      <c r="F55" t="s">
        <v>1053</v>
      </c>
      <c r="G55">
        <v>0.36319444444444443</v>
      </c>
      <c r="H55" t="s">
        <v>1056</v>
      </c>
      <c r="I55">
        <v>0.71944444444444444</v>
      </c>
      <c r="J55">
        <v>0</v>
      </c>
      <c r="K55">
        <v>0</v>
      </c>
      <c r="L55">
        <v>250</v>
      </c>
      <c r="M55">
        <v>0</v>
      </c>
      <c r="N55">
        <v>0</v>
      </c>
      <c r="O55">
        <v>0</v>
      </c>
      <c r="P55" t="s">
        <v>1054</v>
      </c>
      <c r="S55">
        <v>8.5500000000000007</v>
      </c>
      <c r="T55">
        <v>250</v>
      </c>
      <c r="U55">
        <v>500</v>
      </c>
    </row>
    <row r="56" spans="1:21">
      <c r="A56">
        <v>44842</v>
      </c>
      <c r="B56" t="s">
        <v>293</v>
      </c>
      <c r="C56" t="s">
        <v>294</v>
      </c>
      <c r="D56" t="s">
        <v>163</v>
      </c>
      <c r="E56" t="s">
        <v>168</v>
      </c>
      <c r="F56" t="s">
        <v>1055</v>
      </c>
      <c r="G56">
        <v>0.3527777777777778</v>
      </c>
      <c r="H56" t="s">
        <v>1055</v>
      </c>
      <c r="I56">
        <v>0.77638888888888891</v>
      </c>
      <c r="J56">
        <v>0</v>
      </c>
      <c r="K56">
        <v>0</v>
      </c>
      <c r="L56">
        <v>250</v>
      </c>
      <c r="M56">
        <v>0</v>
      </c>
      <c r="N56">
        <v>0</v>
      </c>
      <c r="O56">
        <v>0</v>
      </c>
      <c r="P56" t="s">
        <v>1054</v>
      </c>
      <c r="S56">
        <v>10.166666666666668</v>
      </c>
      <c r="T56">
        <v>250</v>
      </c>
      <c r="U56">
        <v>500</v>
      </c>
    </row>
    <row r="57" spans="1:21">
      <c r="A57">
        <v>44844</v>
      </c>
      <c r="B57" t="s">
        <v>293</v>
      </c>
      <c r="C57" t="s">
        <v>294</v>
      </c>
      <c r="D57" t="s">
        <v>163</v>
      </c>
      <c r="E57" t="s">
        <v>168</v>
      </c>
      <c r="F57" t="s">
        <v>1055</v>
      </c>
      <c r="G57">
        <v>0.3888888888888889</v>
      </c>
      <c r="H57" t="s">
        <v>1057</v>
      </c>
      <c r="I57">
        <v>0.75694444444444442</v>
      </c>
      <c r="J57">
        <v>0</v>
      </c>
      <c r="K57">
        <v>0</v>
      </c>
      <c r="L57">
        <v>250</v>
      </c>
      <c r="M57">
        <v>0</v>
      </c>
      <c r="N57">
        <v>0</v>
      </c>
      <c r="O57">
        <v>0</v>
      </c>
      <c r="P57" t="s">
        <v>1054</v>
      </c>
      <c r="S57">
        <v>8.8333333333333321</v>
      </c>
      <c r="T57">
        <v>250</v>
      </c>
      <c r="U57">
        <v>500</v>
      </c>
    </row>
    <row r="58" spans="1:21">
      <c r="A58">
        <v>44845</v>
      </c>
      <c r="B58" t="s">
        <v>293</v>
      </c>
      <c r="C58" t="s">
        <v>294</v>
      </c>
      <c r="D58" t="s">
        <v>163</v>
      </c>
      <c r="E58" t="s">
        <v>168</v>
      </c>
      <c r="F58" t="s">
        <v>1053</v>
      </c>
      <c r="G58">
        <v>0.25347222222222221</v>
      </c>
      <c r="H58" t="s">
        <v>1058</v>
      </c>
      <c r="I58">
        <v>0.87013888888888891</v>
      </c>
      <c r="J58">
        <v>410</v>
      </c>
      <c r="K58">
        <v>0</v>
      </c>
      <c r="L58">
        <v>0</v>
      </c>
      <c r="M58">
        <v>0</v>
      </c>
      <c r="N58">
        <v>0</v>
      </c>
      <c r="O58">
        <v>0</v>
      </c>
      <c r="P58" t="s">
        <v>1054</v>
      </c>
      <c r="S58">
        <v>14.8</v>
      </c>
      <c r="T58">
        <v>250</v>
      </c>
      <c r="U58">
        <v>660</v>
      </c>
    </row>
    <row r="59" spans="1:21">
      <c r="A59">
        <v>44846</v>
      </c>
      <c r="B59" t="s">
        <v>293</v>
      </c>
      <c r="C59" t="s">
        <v>294</v>
      </c>
      <c r="D59" t="s">
        <v>163</v>
      </c>
      <c r="E59" t="s">
        <v>168</v>
      </c>
      <c r="F59" t="s">
        <v>1059</v>
      </c>
      <c r="G59">
        <v>0.33055555555555555</v>
      </c>
      <c r="H59" t="s">
        <v>1055</v>
      </c>
      <c r="I59">
        <v>0.80277777777777781</v>
      </c>
      <c r="J59">
        <v>0</v>
      </c>
      <c r="K59">
        <v>0</v>
      </c>
      <c r="L59">
        <v>250</v>
      </c>
      <c r="M59">
        <v>0</v>
      </c>
      <c r="N59">
        <v>0</v>
      </c>
      <c r="O59">
        <v>0</v>
      </c>
      <c r="P59" t="s">
        <v>1054</v>
      </c>
      <c r="S59">
        <v>11.333333333333332</v>
      </c>
      <c r="T59">
        <v>250</v>
      </c>
      <c r="U59">
        <v>500</v>
      </c>
    </row>
    <row r="60" spans="1:21">
      <c r="A60">
        <v>44847</v>
      </c>
      <c r="B60" t="s">
        <v>293</v>
      </c>
      <c r="C60" t="s">
        <v>294</v>
      </c>
      <c r="D60" t="s">
        <v>163</v>
      </c>
      <c r="E60" t="s">
        <v>168</v>
      </c>
      <c r="F60" t="s">
        <v>1053</v>
      </c>
      <c r="G60">
        <v>0.36458333333333331</v>
      </c>
      <c r="H60" t="s">
        <v>1060</v>
      </c>
      <c r="I60">
        <v>0.77569444444444446</v>
      </c>
      <c r="J60">
        <v>0</v>
      </c>
      <c r="K60">
        <v>0</v>
      </c>
      <c r="L60">
        <v>250</v>
      </c>
      <c r="M60">
        <v>0</v>
      </c>
      <c r="N60">
        <v>0</v>
      </c>
      <c r="O60">
        <v>0</v>
      </c>
      <c r="P60" t="s">
        <v>1054</v>
      </c>
      <c r="S60">
        <v>9.8666666666666671</v>
      </c>
      <c r="T60">
        <v>250</v>
      </c>
      <c r="U60">
        <v>500</v>
      </c>
    </row>
    <row r="61" spans="1:21">
      <c r="A61">
        <v>44848</v>
      </c>
      <c r="B61" t="s">
        <v>293</v>
      </c>
      <c r="C61" t="s">
        <v>294</v>
      </c>
      <c r="D61" t="s">
        <v>163</v>
      </c>
      <c r="E61" t="s">
        <v>168</v>
      </c>
      <c r="F61" t="s">
        <v>1053</v>
      </c>
      <c r="G61">
        <v>0.36388888888888887</v>
      </c>
      <c r="H61" t="s">
        <v>1053</v>
      </c>
      <c r="I61">
        <v>0.74236111111111114</v>
      </c>
      <c r="J61">
        <v>0</v>
      </c>
      <c r="K61">
        <v>0</v>
      </c>
      <c r="L61">
        <v>250</v>
      </c>
      <c r="M61">
        <v>0</v>
      </c>
      <c r="N61">
        <v>160</v>
      </c>
      <c r="O61">
        <v>0</v>
      </c>
      <c r="P61" t="s">
        <v>1054</v>
      </c>
      <c r="S61">
        <v>9.0833333333333321</v>
      </c>
      <c r="T61">
        <v>250</v>
      </c>
      <c r="U61">
        <v>660</v>
      </c>
    </row>
    <row r="62" spans="1:21">
      <c r="A62">
        <v>44849</v>
      </c>
      <c r="B62" t="s">
        <v>293</v>
      </c>
      <c r="C62" t="s">
        <v>294</v>
      </c>
      <c r="D62" t="s">
        <v>163</v>
      </c>
      <c r="E62" t="s">
        <v>168</v>
      </c>
      <c r="F62" t="s">
        <v>1055</v>
      </c>
      <c r="G62">
        <v>0.40208333333333335</v>
      </c>
      <c r="H62" t="s">
        <v>1061</v>
      </c>
      <c r="I62">
        <v>0.75694444444444442</v>
      </c>
      <c r="J62">
        <v>0</v>
      </c>
      <c r="K62">
        <v>0</v>
      </c>
      <c r="L62">
        <v>250</v>
      </c>
      <c r="M62">
        <v>0</v>
      </c>
      <c r="N62">
        <v>0</v>
      </c>
      <c r="O62">
        <v>0</v>
      </c>
      <c r="P62" t="s">
        <v>1054</v>
      </c>
      <c r="S62">
        <v>8.5166666666666675</v>
      </c>
      <c r="T62">
        <v>250</v>
      </c>
      <c r="U62">
        <v>500</v>
      </c>
    </row>
    <row r="63" spans="1:21">
      <c r="A63">
        <v>44844</v>
      </c>
      <c r="B63" t="s">
        <v>302</v>
      </c>
      <c r="C63" t="s">
        <v>303</v>
      </c>
      <c r="D63" t="s">
        <v>163</v>
      </c>
      <c r="E63" t="s">
        <v>167</v>
      </c>
      <c r="F63" t="s">
        <v>1062</v>
      </c>
      <c r="G63">
        <v>0.37916666666666665</v>
      </c>
      <c r="H63" t="s">
        <v>1063</v>
      </c>
      <c r="I63">
        <v>0.42499999999999999</v>
      </c>
      <c r="J63">
        <v>430</v>
      </c>
      <c r="K63">
        <v>0</v>
      </c>
      <c r="L63">
        <v>90</v>
      </c>
      <c r="M63">
        <v>0</v>
      </c>
      <c r="N63">
        <v>0</v>
      </c>
      <c r="O63">
        <v>0</v>
      </c>
      <c r="P63" t="s">
        <v>1064</v>
      </c>
      <c r="S63">
        <v>1.1000000000000001</v>
      </c>
      <c r="T63">
        <v>0</v>
      </c>
      <c r="U63">
        <v>520</v>
      </c>
    </row>
    <row r="64" spans="1:21">
      <c r="A64">
        <v>44835</v>
      </c>
      <c r="B64" t="s">
        <v>29</v>
      </c>
      <c r="C64" t="s">
        <v>30</v>
      </c>
      <c r="D64" t="s">
        <v>163</v>
      </c>
      <c r="E64" t="s">
        <v>166</v>
      </c>
      <c r="F64" t="s">
        <v>1065</v>
      </c>
      <c r="G64">
        <v>0.3840277777777778</v>
      </c>
      <c r="H64" t="s">
        <v>243</v>
      </c>
      <c r="I64">
        <v>0.83263888888888893</v>
      </c>
      <c r="J64">
        <v>40</v>
      </c>
      <c r="K64">
        <v>0</v>
      </c>
      <c r="L64">
        <v>0</v>
      </c>
      <c r="M64">
        <v>0</v>
      </c>
      <c r="N64">
        <v>0</v>
      </c>
      <c r="O64">
        <v>0</v>
      </c>
      <c r="P64" t="s">
        <v>173</v>
      </c>
      <c r="S64">
        <v>10.766666666666666</v>
      </c>
      <c r="T64">
        <v>250</v>
      </c>
      <c r="U64">
        <v>290</v>
      </c>
    </row>
    <row r="65" spans="1:21">
      <c r="A65">
        <v>44836</v>
      </c>
      <c r="B65" t="s">
        <v>29</v>
      </c>
      <c r="C65" t="s">
        <v>30</v>
      </c>
      <c r="D65" t="s">
        <v>163</v>
      </c>
      <c r="E65" t="s">
        <v>166</v>
      </c>
      <c r="F65" t="s">
        <v>243</v>
      </c>
      <c r="G65">
        <v>0.37986111111111109</v>
      </c>
      <c r="H65" t="s">
        <v>1066</v>
      </c>
      <c r="I65">
        <v>0.43819444444444444</v>
      </c>
      <c r="J65">
        <v>60</v>
      </c>
      <c r="K65">
        <v>0</v>
      </c>
      <c r="L65">
        <v>0</v>
      </c>
      <c r="M65">
        <v>0</v>
      </c>
      <c r="N65">
        <v>0</v>
      </c>
      <c r="O65">
        <v>0</v>
      </c>
      <c r="P65" t="s">
        <v>173</v>
      </c>
      <c r="S65">
        <v>1.4000000000000004</v>
      </c>
      <c r="T65">
        <v>0</v>
      </c>
      <c r="U65">
        <v>60</v>
      </c>
    </row>
    <row r="66" spans="1:21">
      <c r="A66">
        <v>44837</v>
      </c>
      <c r="B66" t="s">
        <v>29</v>
      </c>
      <c r="C66" t="s">
        <v>30</v>
      </c>
      <c r="D66" t="s">
        <v>163</v>
      </c>
      <c r="E66" t="s">
        <v>166</v>
      </c>
      <c r="F66" t="s">
        <v>1067</v>
      </c>
      <c r="G66">
        <v>0.37152777777777779</v>
      </c>
      <c r="H66" t="s">
        <v>243</v>
      </c>
      <c r="I66">
        <v>0.81944444444444442</v>
      </c>
      <c r="J66">
        <v>2500</v>
      </c>
      <c r="K66">
        <v>0</v>
      </c>
      <c r="L66">
        <v>0</v>
      </c>
      <c r="M66">
        <v>250</v>
      </c>
      <c r="N66">
        <v>0</v>
      </c>
      <c r="O66">
        <v>0</v>
      </c>
      <c r="P66" t="s">
        <v>173</v>
      </c>
      <c r="S66">
        <v>10.75</v>
      </c>
      <c r="T66">
        <v>250</v>
      </c>
      <c r="U66">
        <v>2750</v>
      </c>
    </row>
    <row r="67" spans="1:21">
      <c r="A67">
        <v>44838</v>
      </c>
      <c r="B67" t="s">
        <v>29</v>
      </c>
      <c r="C67" t="s">
        <v>30</v>
      </c>
      <c r="D67" t="s">
        <v>163</v>
      </c>
      <c r="E67" t="s">
        <v>166</v>
      </c>
      <c r="F67" t="s">
        <v>243</v>
      </c>
      <c r="G67">
        <v>0.3888888888888889</v>
      </c>
      <c r="H67" t="s">
        <v>1068</v>
      </c>
      <c r="I67">
        <v>0.52430555555555558</v>
      </c>
      <c r="J67">
        <v>60</v>
      </c>
      <c r="K67">
        <v>0</v>
      </c>
      <c r="L67">
        <v>0</v>
      </c>
      <c r="M67">
        <v>250</v>
      </c>
      <c r="N67">
        <v>0</v>
      </c>
      <c r="O67">
        <v>0</v>
      </c>
      <c r="P67" t="s">
        <v>173</v>
      </c>
      <c r="S67">
        <v>3.2500000000000004</v>
      </c>
      <c r="T67">
        <v>0</v>
      </c>
      <c r="U67">
        <v>60</v>
      </c>
    </row>
    <row r="68" spans="1:21">
      <c r="A68">
        <v>44840</v>
      </c>
      <c r="B68" t="s">
        <v>29</v>
      </c>
      <c r="C68" t="s">
        <v>30</v>
      </c>
      <c r="D68" t="s">
        <v>163</v>
      </c>
      <c r="E68" t="s">
        <v>166</v>
      </c>
      <c r="F68" t="s">
        <v>243</v>
      </c>
      <c r="G68">
        <v>0.36805555555555558</v>
      </c>
      <c r="H68" t="s">
        <v>243</v>
      </c>
      <c r="I68">
        <v>0.91249999999999998</v>
      </c>
      <c r="J68">
        <v>40</v>
      </c>
      <c r="K68">
        <v>0</v>
      </c>
      <c r="L68">
        <v>0</v>
      </c>
      <c r="M68">
        <v>250</v>
      </c>
      <c r="N68">
        <v>0</v>
      </c>
      <c r="O68">
        <v>0</v>
      </c>
      <c r="P68" t="s">
        <v>173</v>
      </c>
      <c r="S68">
        <v>13.066666666666668</v>
      </c>
      <c r="T68">
        <v>250</v>
      </c>
      <c r="U68">
        <v>290</v>
      </c>
    </row>
    <row r="69" spans="1:21">
      <c r="A69">
        <v>44841</v>
      </c>
      <c r="B69" t="s">
        <v>29</v>
      </c>
      <c r="C69" t="s">
        <v>30</v>
      </c>
      <c r="D69" t="s">
        <v>163</v>
      </c>
      <c r="E69" t="s">
        <v>166</v>
      </c>
      <c r="F69" t="s">
        <v>1069</v>
      </c>
      <c r="G69">
        <v>0.38472222222222224</v>
      </c>
      <c r="H69" t="s">
        <v>243</v>
      </c>
      <c r="I69">
        <v>0.82152777777777775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 t="s">
        <v>173</v>
      </c>
      <c r="S69">
        <v>10.483333333333334</v>
      </c>
      <c r="T69">
        <v>250</v>
      </c>
      <c r="U69">
        <v>250</v>
      </c>
    </row>
    <row r="70" spans="1:21">
      <c r="A70">
        <v>44842</v>
      </c>
      <c r="B70" t="s">
        <v>29</v>
      </c>
      <c r="C70" t="s">
        <v>30</v>
      </c>
      <c r="D70" t="s">
        <v>163</v>
      </c>
      <c r="E70" t="s">
        <v>166</v>
      </c>
      <c r="F70" t="s">
        <v>243</v>
      </c>
      <c r="G70">
        <v>0.37847222222222221</v>
      </c>
      <c r="H70" t="s">
        <v>243</v>
      </c>
      <c r="I70">
        <v>0.78749999999999998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 t="s">
        <v>173</v>
      </c>
      <c r="S70">
        <v>9.8166666666666664</v>
      </c>
      <c r="T70">
        <v>250</v>
      </c>
      <c r="U70">
        <v>250</v>
      </c>
    </row>
    <row r="71" spans="1:21">
      <c r="A71">
        <v>44844</v>
      </c>
      <c r="B71" t="s">
        <v>29</v>
      </c>
      <c r="C71" t="s">
        <v>30</v>
      </c>
      <c r="D71" t="s">
        <v>163</v>
      </c>
      <c r="E71" t="s">
        <v>166</v>
      </c>
      <c r="F71" t="s">
        <v>243</v>
      </c>
      <c r="G71">
        <v>0.3659722222222222</v>
      </c>
      <c r="H71" t="s">
        <v>243</v>
      </c>
      <c r="I71">
        <v>0.81666666666666665</v>
      </c>
      <c r="J71">
        <v>2540</v>
      </c>
      <c r="K71">
        <v>0</v>
      </c>
      <c r="L71">
        <v>0</v>
      </c>
      <c r="M71">
        <v>250</v>
      </c>
      <c r="N71">
        <v>0</v>
      </c>
      <c r="O71">
        <v>0</v>
      </c>
      <c r="P71" t="s">
        <v>173</v>
      </c>
      <c r="S71">
        <v>10.816666666666666</v>
      </c>
      <c r="T71">
        <v>250</v>
      </c>
      <c r="U71">
        <v>2790</v>
      </c>
    </row>
    <row r="72" spans="1:21">
      <c r="A72">
        <v>44845</v>
      </c>
      <c r="B72" t="s">
        <v>29</v>
      </c>
      <c r="C72" t="s">
        <v>30</v>
      </c>
      <c r="D72" t="s">
        <v>163</v>
      </c>
      <c r="E72" t="s">
        <v>166</v>
      </c>
      <c r="F72" t="s">
        <v>243</v>
      </c>
      <c r="G72">
        <v>0.3298611111111111</v>
      </c>
      <c r="H72" t="s">
        <v>243</v>
      </c>
      <c r="I72">
        <v>0.88055555555555554</v>
      </c>
      <c r="J72">
        <v>60</v>
      </c>
      <c r="K72">
        <v>0</v>
      </c>
      <c r="L72">
        <v>0</v>
      </c>
      <c r="M72">
        <v>250</v>
      </c>
      <c r="N72">
        <v>0</v>
      </c>
      <c r="O72">
        <v>0</v>
      </c>
      <c r="P72" t="s">
        <v>173</v>
      </c>
      <c r="S72">
        <v>13.216666666666665</v>
      </c>
      <c r="T72">
        <v>250</v>
      </c>
      <c r="U72">
        <v>310</v>
      </c>
    </row>
    <row r="73" spans="1:21">
      <c r="A73">
        <v>44846</v>
      </c>
      <c r="B73" t="s">
        <v>29</v>
      </c>
      <c r="C73" t="s">
        <v>30</v>
      </c>
      <c r="D73" t="s">
        <v>163</v>
      </c>
      <c r="E73" t="s">
        <v>166</v>
      </c>
      <c r="F73" t="s">
        <v>243</v>
      </c>
      <c r="G73">
        <v>0.37986111111111109</v>
      </c>
      <c r="H73" t="s">
        <v>1065</v>
      </c>
      <c r="I73">
        <v>2.013888888888889E-2</v>
      </c>
      <c r="J73">
        <v>40</v>
      </c>
      <c r="K73">
        <v>0</v>
      </c>
      <c r="L73">
        <v>0</v>
      </c>
      <c r="M73">
        <v>250</v>
      </c>
      <c r="N73">
        <v>0</v>
      </c>
      <c r="O73">
        <v>0</v>
      </c>
      <c r="P73" t="s">
        <v>173</v>
      </c>
      <c r="S73">
        <v>15.366666666666665</v>
      </c>
      <c r="T73">
        <v>250</v>
      </c>
      <c r="U73">
        <v>290</v>
      </c>
    </row>
    <row r="74" spans="1:21">
      <c r="A74">
        <v>44847</v>
      </c>
      <c r="B74" t="s">
        <v>29</v>
      </c>
      <c r="C74" t="s">
        <v>30</v>
      </c>
      <c r="D74" t="s">
        <v>163</v>
      </c>
      <c r="E74" t="s">
        <v>166</v>
      </c>
      <c r="F74" t="s">
        <v>1065</v>
      </c>
      <c r="G74">
        <v>2.013888888888889E-2</v>
      </c>
      <c r="H74" t="s">
        <v>1070</v>
      </c>
      <c r="I74">
        <v>0.41875000000000001</v>
      </c>
      <c r="J74">
        <v>20</v>
      </c>
      <c r="K74">
        <v>0</v>
      </c>
      <c r="L74">
        <v>0</v>
      </c>
      <c r="M74">
        <v>250</v>
      </c>
      <c r="N74">
        <v>0</v>
      </c>
      <c r="O74">
        <v>0</v>
      </c>
      <c r="P74" t="s">
        <v>173</v>
      </c>
      <c r="S74">
        <v>9.5666666666666664</v>
      </c>
      <c r="T74">
        <v>250</v>
      </c>
      <c r="U74">
        <v>270</v>
      </c>
    </row>
    <row r="75" spans="1:21">
      <c r="A75">
        <v>44848</v>
      </c>
      <c r="B75" t="s">
        <v>29</v>
      </c>
      <c r="C75" t="s">
        <v>30</v>
      </c>
      <c r="D75" t="s">
        <v>163</v>
      </c>
      <c r="E75" t="s">
        <v>166</v>
      </c>
      <c r="F75" t="s">
        <v>1071</v>
      </c>
      <c r="G75">
        <v>0.37291666666666667</v>
      </c>
      <c r="H75" t="s">
        <v>243</v>
      </c>
      <c r="I75">
        <v>0.85347222222222219</v>
      </c>
      <c r="J75">
        <v>1600</v>
      </c>
      <c r="K75">
        <v>0</v>
      </c>
      <c r="L75">
        <v>0</v>
      </c>
      <c r="M75">
        <v>0</v>
      </c>
      <c r="N75">
        <v>0</v>
      </c>
      <c r="O75">
        <v>0</v>
      </c>
      <c r="P75" t="s">
        <v>173</v>
      </c>
      <c r="S75">
        <v>11.533333333333331</v>
      </c>
      <c r="T75">
        <v>250</v>
      </c>
      <c r="U75">
        <v>1850</v>
      </c>
    </row>
    <row r="76" spans="1:21">
      <c r="A76">
        <v>44849</v>
      </c>
      <c r="B76" t="s">
        <v>29</v>
      </c>
      <c r="C76" t="s">
        <v>30</v>
      </c>
      <c r="D76" t="s">
        <v>163</v>
      </c>
      <c r="E76" t="s">
        <v>166</v>
      </c>
      <c r="F76" t="s">
        <v>1071</v>
      </c>
      <c r="G76">
        <v>0.36736111111111114</v>
      </c>
      <c r="H76" t="s">
        <v>1072</v>
      </c>
      <c r="I76">
        <v>0.38611111111111113</v>
      </c>
      <c r="J76">
        <v>0</v>
      </c>
      <c r="K76">
        <v>0</v>
      </c>
      <c r="L76">
        <v>0</v>
      </c>
      <c r="M76">
        <v>250</v>
      </c>
      <c r="N76">
        <v>0</v>
      </c>
      <c r="O76">
        <v>0</v>
      </c>
      <c r="P76" t="s">
        <v>173</v>
      </c>
      <c r="S76">
        <v>0.44999999999999973</v>
      </c>
      <c r="T76">
        <v>0</v>
      </c>
      <c r="U76">
        <v>0</v>
      </c>
    </row>
    <row r="77" spans="1:21">
      <c r="A77">
        <v>44835</v>
      </c>
      <c r="B77" t="s">
        <v>35</v>
      </c>
      <c r="C77" t="s">
        <v>36</v>
      </c>
      <c r="D77" t="s">
        <v>163</v>
      </c>
      <c r="E77" t="s">
        <v>166</v>
      </c>
      <c r="F77" t="s">
        <v>1073</v>
      </c>
      <c r="G77">
        <v>0.39305555555555555</v>
      </c>
      <c r="H77" t="s">
        <v>1073</v>
      </c>
      <c r="I77">
        <v>0.89166666666666672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 t="s">
        <v>175</v>
      </c>
      <c r="S77">
        <v>11.966666666666665</v>
      </c>
      <c r="T77">
        <v>250</v>
      </c>
      <c r="U77">
        <v>250</v>
      </c>
    </row>
    <row r="78" spans="1:21">
      <c r="A78">
        <v>44837</v>
      </c>
      <c r="B78" t="s">
        <v>35</v>
      </c>
      <c r="C78" t="s">
        <v>36</v>
      </c>
      <c r="D78" t="s">
        <v>163</v>
      </c>
      <c r="E78" t="s">
        <v>166</v>
      </c>
      <c r="F78" t="s">
        <v>1074</v>
      </c>
      <c r="G78">
        <v>0.3840277777777778</v>
      </c>
      <c r="H78" t="s">
        <v>174</v>
      </c>
      <c r="I78">
        <v>0.90347222222222223</v>
      </c>
      <c r="J78">
        <v>500</v>
      </c>
      <c r="K78">
        <v>0</v>
      </c>
      <c r="L78">
        <v>0</v>
      </c>
      <c r="M78">
        <v>250</v>
      </c>
      <c r="N78">
        <v>0</v>
      </c>
      <c r="O78">
        <v>0</v>
      </c>
      <c r="P78" t="s">
        <v>175</v>
      </c>
      <c r="S78">
        <v>12.466666666666669</v>
      </c>
      <c r="T78">
        <v>250</v>
      </c>
      <c r="U78">
        <v>750</v>
      </c>
    </row>
    <row r="79" spans="1:21">
      <c r="A79">
        <v>44838</v>
      </c>
      <c r="B79" t="s">
        <v>35</v>
      </c>
      <c r="C79" t="s">
        <v>36</v>
      </c>
      <c r="D79" t="s">
        <v>163</v>
      </c>
      <c r="E79" t="s">
        <v>166</v>
      </c>
      <c r="F79" t="s">
        <v>1075</v>
      </c>
      <c r="G79">
        <v>0.37916666666666665</v>
      </c>
      <c r="H79" t="s">
        <v>1076</v>
      </c>
      <c r="I79">
        <v>0.85972222222222228</v>
      </c>
      <c r="J79">
        <v>500</v>
      </c>
      <c r="K79">
        <v>0</v>
      </c>
      <c r="L79">
        <v>0</v>
      </c>
      <c r="M79">
        <v>250</v>
      </c>
      <c r="N79">
        <v>0</v>
      </c>
      <c r="O79">
        <v>0</v>
      </c>
      <c r="P79" t="s">
        <v>175</v>
      </c>
      <c r="S79">
        <v>11.533333333333331</v>
      </c>
      <c r="T79">
        <v>250</v>
      </c>
      <c r="U79">
        <v>750</v>
      </c>
    </row>
    <row r="80" spans="1:21">
      <c r="A80">
        <v>44839</v>
      </c>
      <c r="B80" t="s">
        <v>35</v>
      </c>
      <c r="C80" t="s">
        <v>36</v>
      </c>
      <c r="D80" t="s">
        <v>163</v>
      </c>
      <c r="E80" t="s">
        <v>166</v>
      </c>
      <c r="F80" t="s">
        <v>174</v>
      </c>
      <c r="G80">
        <v>0.4</v>
      </c>
      <c r="H80" t="s">
        <v>174</v>
      </c>
      <c r="I80">
        <v>0.8569444444444444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 t="s">
        <v>175</v>
      </c>
      <c r="S80">
        <v>10.966666666666667</v>
      </c>
      <c r="T80">
        <v>250</v>
      </c>
      <c r="U80">
        <v>250</v>
      </c>
    </row>
    <row r="81" spans="1:21">
      <c r="A81">
        <v>44840</v>
      </c>
      <c r="B81" t="s">
        <v>35</v>
      </c>
      <c r="C81" t="s">
        <v>36</v>
      </c>
      <c r="D81" t="s">
        <v>163</v>
      </c>
      <c r="E81" t="s">
        <v>166</v>
      </c>
      <c r="F81" t="s">
        <v>1077</v>
      </c>
      <c r="G81">
        <v>0.38472222222222224</v>
      </c>
      <c r="H81" t="s">
        <v>174</v>
      </c>
      <c r="I81">
        <v>0.88888888888888884</v>
      </c>
      <c r="J81">
        <v>0</v>
      </c>
      <c r="K81">
        <v>0</v>
      </c>
      <c r="L81">
        <v>0</v>
      </c>
      <c r="M81">
        <v>250</v>
      </c>
      <c r="N81">
        <v>0</v>
      </c>
      <c r="O81">
        <v>0</v>
      </c>
      <c r="P81" t="s">
        <v>175</v>
      </c>
      <c r="S81">
        <v>12.1</v>
      </c>
      <c r="T81">
        <v>250</v>
      </c>
      <c r="U81">
        <v>250</v>
      </c>
    </row>
    <row r="82" spans="1:21">
      <c r="A82">
        <v>44841</v>
      </c>
      <c r="B82" t="s">
        <v>35</v>
      </c>
      <c r="C82" t="s">
        <v>36</v>
      </c>
      <c r="D82" t="s">
        <v>163</v>
      </c>
      <c r="E82" t="s">
        <v>166</v>
      </c>
      <c r="F82" t="s">
        <v>1075</v>
      </c>
      <c r="G82">
        <v>0.48402777777777778</v>
      </c>
      <c r="H82" t="s">
        <v>1073</v>
      </c>
      <c r="I82">
        <v>0.89652777777777781</v>
      </c>
      <c r="J82">
        <v>2300</v>
      </c>
      <c r="K82">
        <v>0</v>
      </c>
      <c r="L82">
        <v>0</v>
      </c>
      <c r="M82">
        <v>0</v>
      </c>
      <c r="N82">
        <v>0</v>
      </c>
      <c r="O82">
        <v>0</v>
      </c>
      <c r="P82" t="s">
        <v>175</v>
      </c>
      <c r="S82">
        <v>9.8999999999999986</v>
      </c>
      <c r="T82">
        <v>250</v>
      </c>
      <c r="U82">
        <v>2550</v>
      </c>
    </row>
    <row r="83" spans="1:21">
      <c r="A83">
        <v>44842</v>
      </c>
      <c r="B83" t="s">
        <v>35</v>
      </c>
      <c r="C83" t="s">
        <v>36</v>
      </c>
      <c r="D83" t="s">
        <v>163</v>
      </c>
      <c r="E83" t="s">
        <v>166</v>
      </c>
      <c r="F83" t="s">
        <v>1073</v>
      </c>
      <c r="G83">
        <v>0.38541666666666669</v>
      </c>
      <c r="H83" t="s">
        <v>1073</v>
      </c>
      <c r="I83">
        <v>0.84305555555555556</v>
      </c>
      <c r="J83">
        <v>0</v>
      </c>
      <c r="K83">
        <v>0</v>
      </c>
      <c r="L83">
        <v>0</v>
      </c>
      <c r="M83">
        <v>125</v>
      </c>
      <c r="N83">
        <v>0</v>
      </c>
      <c r="O83">
        <v>0</v>
      </c>
      <c r="P83" t="s">
        <v>175</v>
      </c>
      <c r="S83">
        <v>10.983333333333334</v>
      </c>
      <c r="T83">
        <v>250</v>
      </c>
      <c r="U83">
        <v>250</v>
      </c>
    </row>
    <row r="84" spans="1:21">
      <c r="A84">
        <v>44844</v>
      </c>
      <c r="B84" t="s">
        <v>35</v>
      </c>
      <c r="C84" t="s">
        <v>36</v>
      </c>
      <c r="D84" t="s">
        <v>163</v>
      </c>
      <c r="E84" t="s">
        <v>166</v>
      </c>
      <c r="F84" t="s">
        <v>1078</v>
      </c>
      <c r="G84">
        <v>0.39097222222222222</v>
      </c>
      <c r="H84" t="s">
        <v>1078</v>
      </c>
      <c r="I84">
        <v>0.87083333333333335</v>
      </c>
      <c r="J84">
        <v>0</v>
      </c>
      <c r="K84">
        <v>0</v>
      </c>
      <c r="L84">
        <v>0</v>
      </c>
      <c r="M84">
        <v>125</v>
      </c>
      <c r="N84">
        <v>0</v>
      </c>
      <c r="O84">
        <v>0</v>
      </c>
      <c r="P84" t="s">
        <v>175</v>
      </c>
      <c r="S84">
        <v>11.516666666666667</v>
      </c>
      <c r="T84">
        <v>250</v>
      </c>
      <c r="U84">
        <v>250</v>
      </c>
    </row>
    <row r="85" spans="1:21">
      <c r="A85">
        <v>44845</v>
      </c>
      <c r="B85" t="s">
        <v>35</v>
      </c>
      <c r="C85" t="s">
        <v>36</v>
      </c>
      <c r="D85" t="s">
        <v>163</v>
      </c>
      <c r="E85" t="s">
        <v>166</v>
      </c>
      <c r="F85" t="s">
        <v>1074</v>
      </c>
      <c r="G85">
        <v>0.39166666666666666</v>
      </c>
      <c r="H85" t="s">
        <v>1073</v>
      </c>
      <c r="I85">
        <v>0.79791666666666672</v>
      </c>
      <c r="J85">
        <v>0</v>
      </c>
      <c r="K85">
        <v>0</v>
      </c>
      <c r="L85">
        <v>0</v>
      </c>
      <c r="M85">
        <v>125</v>
      </c>
      <c r="N85">
        <v>0</v>
      </c>
      <c r="O85">
        <v>0</v>
      </c>
      <c r="P85" t="s">
        <v>175</v>
      </c>
      <c r="S85">
        <v>9.7499999999999982</v>
      </c>
      <c r="T85">
        <v>250</v>
      </c>
      <c r="U85">
        <v>250</v>
      </c>
    </row>
    <row r="86" spans="1:21">
      <c r="A86">
        <v>44846</v>
      </c>
      <c r="B86" t="s">
        <v>35</v>
      </c>
      <c r="C86" t="s">
        <v>36</v>
      </c>
      <c r="D86" t="s">
        <v>163</v>
      </c>
      <c r="E86" t="s">
        <v>166</v>
      </c>
      <c r="F86" t="s">
        <v>1074</v>
      </c>
      <c r="G86">
        <v>0.39444444444444443</v>
      </c>
      <c r="H86" t="s">
        <v>1079</v>
      </c>
      <c r="I86">
        <v>0.80972222222222223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 t="s">
        <v>175</v>
      </c>
      <c r="S86">
        <v>9.9666666666666668</v>
      </c>
      <c r="T86">
        <v>250</v>
      </c>
      <c r="U86">
        <v>250</v>
      </c>
    </row>
    <row r="87" spans="1:21">
      <c r="A87">
        <v>44847</v>
      </c>
      <c r="B87" t="s">
        <v>35</v>
      </c>
      <c r="C87" t="s">
        <v>36</v>
      </c>
      <c r="D87" t="s">
        <v>163</v>
      </c>
      <c r="E87" t="s">
        <v>166</v>
      </c>
      <c r="F87" t="s">
        <v>1073</v>
      </c>
      <c r="G87">
        <v>0.4</v>
      </c>
      <c r="H87" t="s">
        <v>1073</v>
      </c>
      <c r="I87">
        <v>0.82361111111111107</v>
      </c>
      <c r="J87">
        <v>0</v>
      </c>
      <c r="K87">
        <v>0</v>
      </c>
      <c r="L87">
        <v>0</v>
      </c>
      <c r="M87">
        <v>125</v>
      </c>
      <c r="N87">
        <v>0</v>
      </c>
      <c r="O87">
        <v>0</v>
      </c>
      <c r="P87" t="s">
        <v>175</v>
      </c>
      <c r="S87">
        <v>10.166666666666666</v>
      </c>
      <c r="T87">
        <v>250</v>
      </c>
      <c r="U87">
        <v>250</v>
      </c>
    </row>
    <row r="88" spans="1:21">
      <c r="A88">
        <v>44848</v>
      </c>
      <c r="B88" t="s">
        <v>35</v>
      </c>
      <c r="C88" t="s">
        <v>36</v>
      </c>
      <c r="D88" t="s">
        <v>163</v>
      </c>
      <c r="E88" t="s">
        <v>166</v>
      </c>
      <c r="F88" t="s">
        <v>1074</v>
      </c>
      <c r="G88">
        <v>0.38611111111111113</v>
      </c>
      <c r="H88" t="s">
        <v>1080</v>
      </c>
      <c r="I88">
        <v>0.87708333333333333</v>
      </c>
      <c r="J88">
        <v>0</v>
      </c>
      <c r="K88">
        <v>0</v>
      </c>
      <c r="L88">
        <v>0</v>
      </c>
      <c r="M88">
        <v>125</v>
      </c>
      <c r="N88">
        <v>0</v>
      </c>
      <c r="O88">
        <v>0</v>
      </c>
      <c r="P88" t="s">
        <v>175</v>
      </c>
      <c r="S88">
        <v>11.783333333333335</v>
      </c>
      <c r="T88">
        <v>250</v>
      </c>
      <c r="U88">
        <v>250</v>
      </c>
    </row>
    <row r="89" spans="1:21">
      <c r="A89">
        <v>44849</v>
      </c>
      <c r="B89" t="s">
        <v>35</v>
      </c>
      <c r="C89" t="s">
        <v>36</v>
      </c>
      <c r="D89" t="s">
        <v>163</v>
      </c>
      <c r="E89" t="s">
        <v>166</v>
      </c>
      <c r="F89" t="s">
        <v>1081</v>
      </c>
      <c r="G89">
        <v>0.45902777777777776</v>
      </c>
      <c r="H89" t="s">
        <v>1075</v>
      </c>
      <c r="I89">
        <v>0.82777777777777772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 t="s">
        <v>175</v>
      </c>
      <c r="S89">
        <v>8.85</v>
      </c>
      <c r="T89">
        <v>250</v>
      </c>
      <c r="U89">
        <v>250</v>
      </c>
    </row>
    <row r="90" spans="1:21">
      <c r="A90">
        <v>44835</v>
      </c>
      <c r="B90" t="s">
        <v>52</v>
      </c>
      <c r="C90" t="s">
        <v>327</v>
      </c>
      <c r="D90" t="s">
        <v>163</v>
      </c>
      <c r="E90" t="s">
        <v>167</v>
      </c>
      <c r="F90" t="s">
        <v>1082</v>
      </c>
      <c r="G90">
        <v>0.36666666666666664</v>
      </c>
      <c r="H90" t="s">
        <v>1082</v>
      </c>
      <c r="I90">
        <v>0.80208333333333337</v>
      </c>
      <c r="J90">
        <v>0</v>
      </c>
      <c r="K90">
        <v>0</v>
      </c>
      <c r="L90">
        <v>200</v>
      </c>
      <c r="M90">
        <v>0</v>
      </c>
      <c r="N90">
        <v>0</v>
      </c>
      <c r="O90">
        <v>0</v>
      </c>
      <c r="P90" t="s">
        <v>192</v>
      </c>
      <c r="S90">
        <v>10.45</v>
      </c>
      <c r="T90">
        <v>200</v>
      </c>
      <c r="U90">
        <v>400</v>
      </c>
    </row>
    <row r="91" spans="1:21">
      <c r="A91">
        <v>44837</v>
      </c>
      <c r="B91" t="s">
        <v>52</v>
      </c>
      <c r="C91" t="s">
        <v>327</v>
      </c>
      <c r="D91" t="s">
        <v>163</v>
      </c>
      <c r="E91" t="s">
        <v>167</v>
      </c>
      <c r="F91" t="s">
        <v>1083</v>
      </c>
      <c r="G91">
        <v>0.33611111111111114</v>
      </c>
      <c r="H91" t="s">
        <v>193</v>
      </c>
      <c r="I91">
        <v>0.84791666666666665</v>
      </c>
      <c r="J91">
        <v>0</v>
      </c>
      <c r="K91">
        <v>0</v>
      </c>
      <c r="L91">
        <v>200</v>
      </c>
      <c r="M91">
        <v>0</v>
      </c>
      <c r="N91">
        <v>0</v>
      </c>
      <c r="O91">
        <v>0</v>
      </c>
      <c r="P91" t="s">
        <v>192</v>
      </c>
      <c r="S91">
        <v>12.283333333333335</v>
      </c>
      <c r="T91">
        <v>200</v>
      </c>
      <c r="U91">
        <v>400</v>
      </c>
    </row>
    <row r="92" spans="1:21">
      <c r="A92">
        <v>44838</v>
      </c>
      <c r="B92" t="s">
        <v>52</v>
      </c>
      <c r="C92" t="s">
        <v>327</v>
      </c>
      <c r="D92" t="s">
        <v>163</v>
      </c>
      <c r="E92" t="s">
        <v>167</v>
      </c>
      <c r="F92" t="s">
        <v>1084</v>
      </c>
      <c r="G92">
        <v>0.31041666666666667</v>
      </c>
      <c r="H92" t="s">
        <v>193</v>
      </c>
      <c r="I92">
        <v>0.87013888888888891</v>
      </c>
      <c r="J92">
        <v>550</v>
      </c>
      <c r="K92">
        <v>0</v>
      </c>
      <c r="L92">
        <v>200</v>
      </c>
      <c r="M92">
        <v>0</v>
      </c>
      <c r="N92">
        <v>0</v>
      </c>
      <c r="O92">
        <v>0</v>
      </c>
      <c r="P92" t="s">
        <v>192</v>
      </c>
      <c r="S92">
        <v>13.433333333333334</v>
      </c>
      <c r="T92">
        <v>200</v>
      </c>
      <c r="U92">
        <v>950</v>
      </c>
    </row>
    <row r="93" spans="1:21">
      <c r="A93">
        <v>44840</v>
      </c>
      <c r="B93" t="s">
        <v>52</v>
      </c>
      <c r="C93" t="s">
        <v>327</v>
      </c>
      <c r="D93" t="s">
        <v>163</v>
      </c>
      <c r="E93" t="s">
        <v>167</v>
      </c>
      <c r="F93" t="s">
        <v>1085</v>
      </c>
      <c r="G93">
        <v>0.36041666666666666</v>
      </c>
      <c r="H93" t="s">
        <v>193</v>
      </c>
      <c r="I93">
        <v>0.84097222222222223</v>
      </c>
      <c r="J93">
        <v>0</v>
      </c>
      <c r="K93">
        <v>0</v>
      </c>
      <c r="L93">
        <v>200</v>
      </c>
      <c r="M93">
        <v>0</v>
      </c>
      <c r="N93">
        <v>0</v>
      </c>
      <c r="O93">
        <v>0</v>
      </c>
      <c r="P93" t="s">
        <v>192</v>
      </c>
      <c r="S93">
        <v>11.533333333333333</v>
      </c>
      <c r="T93">
        <v>200</v>
      </c>
      <c r="U93">
        <v>400</v>
      </c>
    </row>
    <row r="94" spans="1:21">
      <c r="A94">
        <v>44841</v>
      </c>
      <c r="B94" t="s">
        <v>52</v>
      </c>
      <c r="C94" t="s">
        <v>327</v>
      </c>
      <c r="D94" t="s">
        <v>163</v>
      </c>
      <c r="E94" t="s">
        <v>167</v>
      </c>
      <c r="F94" t="s">
        <v>1082</v>
      </c>
      <c r="G94">
        <v>0.33541666666666664</v>
      </c>
      <c r="H94" t="s">
        <v>1086</v>
      </c>
      <c r="I94">
        <v>0.84305555555555556</v>
      </c>
      <c r="J94">
        <v>550</v>
      </c>
      <c r="K94">
        <v>0</v>
      </c>
      <c r="L94">
        <v>0</v>
      </c>
      <c r="M94">
        <v>200</v>
      </c>
      <c r="N94">
        <v>160</v>
      </c>
      <c r="O94">
        <v>0</v>
      </c>
      <c r="P94" t="s">
        <v>192</v>
      </c>
      <c r="S94">
        <v>12.183333333333335</v>
      </c>
      <c r="T94">
        <v>200</v>
      </c>
      <c r="U94">
        <v>910</v>
      </c>
    </row>
    <row r="95" spans="1:21">
      <c r="A95">
        <v>44842</v>
      </c>
      <c r="B95" t="s">
        <v>52</v>
      </c>
      <c r="C95" t="s">
        <v>327</v>
      </c>
      <c r="D95" t="s">
        <v>163</v>
      </c>
      <c r="E95" t="s">
        <v>167</v>
      </c>
      <c r="F95" t="s">
        <v>1086</v>
      </c>
      <c r="G95">
        <v>0.33194444444444443</v>
      </c>
      <c r="H95" t="s">
        <v>193</v>
      </c>
      <c r="I95">
        <v>0.87847222222222221</v>
      </c>
      <c r="J95">
        <v>563</v>
      </c>
      <c r="K95">
        <v>800</v>
      </c>
      <c r="L95">
        <v>200</v>
      </c>
      <c r="M95">
        <v>0</v>
      </c>
      <c r="N95">
        <v>100</v>
      </c>
      <c r="O95">
        <v>0</v>
      </c>
      <c r="P95" t="s">
        <v>192</v>
      </c>
      <c r="S95">
        <v>13.116666666666665</v>
      </c>
      <c r="T95">
        <v>0</v>
      </c>
      <c r="U95">
        <v>1663</v>
      </c>
    </row>
    <row r="96" spans="1:21">
      <c r="A96">
        <v>44844</v>
      </c>
      <c r="B96" t="s">
        <v>52</v>
      </c>
      <c r="C96" t="s">
        <v>327</v>
      </c>
      <c r="D96" t="s">
        <v>163</v>
      </c>
      <c r="E96" t="s">
        <v>167</v>
      </c>
      <c r="F96" t="s">
        <v>1087</v>
      </c>
      <c r="G96">
        <v>0.35416666666666669</v>
      </c>
      <c r="H96" t="s">
        <v>1088</v>
      </c>
      <c r="I96">
        <v>0.69166666666666665</v>
      </c>
      <c r="J96">
        <v>0</v>
      </c>
      <c r="K96">
        <v>0</v>
      </c>
      <c r="L96">
        <v>200</v>
      </c>
      <c r="M96">
        <v>0</v>
      </c>
      <c r="N96">
        <v>0</v>
      </c>
      <c r="O96">
        <v>0</v>
      </c>
      <c r="P96" t="s">
        <v>192</v>
      </c>
      <c r="S96">
        <v>8.1000000000000014</v>
      </c>
      <c r="T96">
        <v>200</v>
      </c>
      <c r="U96">
        <v>400</v>
      </c>
    </row>
    <row r="97" spans="1:21">
      <c r="A97">
        <v>44845</v>
      </c>
      <c r="B97" t="s">
        <v>52</v>
      </c>
      <c r="C97" t="s">
        <v>327</v>
      </c>
      <c r="D97" t="s">
        <v>163</v>
      </c>
      <c r="E97" t="s">
        <v>167</v>
      </c>
      <c r="F97" t="s">
        <v>1082</v>
      </c>
      <c r="G97">
        <v>0.35972222222222222</v>
      </c>
      <c r="H97" t="s">
        <v>1082</v>
      </c>
      <c r="I97">
        <v>0.44444444444444442</v>
      </c>
      <c r="J97">
        <v>0</v>
      </c>
      <c r="K97">
        <v>0</v>
      </c>
      <c r="L97">
        <v>200</v>
      </c>
      <c r="M97">
        <v>0</v>
      </c>
      <c r="N97">
        <v>0</v>
      </c>
      <c r="O97">
        <v>0</v>
      </c>
      <c r="P97" t="s">
        <v>192</v>
      </c>
      <c r="S97">
        <v>2.0333333333333328</v>
      </c>
      <c r="T97">
        <v>0</v>
      </c>
      <c r="U97">
        <v>200</v>
      </c>
    </row>
    <row r="98" spans="1:21">
      <c r="A98">
        <v>44846</v>
      </c>
      <c r="B98" t="s">
        <v>52</v>
      </c>
      <c r="C98" t="s">
        <v>327</v>
      </c>
      <c r="D98" t="s">
        <v>163</v>
      </c>
      <c r="E98" t="s">
        <v>167</v>
      </c>
      <c r="F98" t="s">
        <v>1082</v>
      </c>
      <c r="G98">
        <v>0.44444444444444442</v>
      </c>
      <c r="H98" t="s">
        <v>1082</v>
      </c>
      <c r="I98">
        <v>0.8666666666666667</v>
      </c>
      <c r="J98">
        <v>550</v>
      </c>
      <c r="K98">
        <v>0</v>
      </c>
      <c r="L98">
        <v>200</v>
      </c>
      <c r="M98">
        <v>0</v>
      </c>
      <c r="N98">
        <v>0</v>
      </c>
      <c r="O98">
        <v>0</v>
      </c>
      <c r="P98" t="s">
        <v>192</v>
      </c>
      <c r="S98">
        <v>10.133333333333333</v>
      </c>
      <c r="T98">
        <v>200</v>
      </c>
      <c r="U98">
        <v>950</v>
      </c>
    </row>
    <row r="99" spans="1:21">
      <c r="A99">
        <v>44847</v>
      </c>
      <c r="B99" t="s">
        <v>52</v>
      </c>
      <c r="C99" t="s">
        <v>327</v>
      </c>
      <c r="D99" t="s">
        <v>163</v>
      </c>
      <c r="E99" t="s">
        <v>167</v>
      </c>
      <c r="F99" t="s">
        <v>1087</v>
      </c>
      <c r="G99">
        <v>0.25</v>
      </c>
      <c r="H99" t="s">
        <v>1089</v>
      </c>
      <c r="I99">
        <v>0.83194444444444449</v>
      </c>
      <c r="J99">
        <v>550</v>
      </c>
      <c r="K99">
        <v>0</v>
      </c>
      <c r="L99">
        <v>0</v>
      </c>
      <c r="M99">
        <v>200</v>
      </c>
      <c r="N99">
        <v>0</v>
      </c>
      <c r="O99">
        <v>0</v>
      </c>
      <c r="P99" t="s">
        <v>192</v>
      </c>
      <c r="S99">
        <v>13.966666666666665</v>
      </c>
      <c r="T99">
        <v>200</v>
      </c>
      <c r="U99">
        <v>750</v>
      </c>
    </row>
    <row r="100" spans="1:21">
      <c r="A100">
        <v>44848</v>
      </c>
      <c r="B100" t="s">
        <v>52</v>
      </c>
      <c r="C100" t="s">
        <v>327</v>
      </c>
      <c r="D100" t="s">
        <v>163</v>
      </c>
      <c r="E100" t="s">
        <v>167</v>
      </c>
      <c r="F100" t="s">
        <v>1090</v>
      </c>
      <c r="G100">
        <v>0.38819444444444445</v>
      </c>
      <c r="I100">
        <v>0.79236111111111107</v>
      </c>
      <c r="J100">
        <v>0</v>
      </c>
      <c r="K100">
        <v>800</v>
      </c>
      <c r="L100">
        <v>0</v>
      </c>
      <c r="M100">
        <v>200</v>
      </c>
      <c r="N100">
        <v>0</v>
      </c>
      <c r="O100">
        <v>0</v>
      </c>
      <c r="P100" t="s">
        <v>192</v>
      </c>
      <c r="S100">
        <v>9.6999999999999993</v>
      </c>
      <c r="T100">
        <v>0</v>
      </c>
      <c r="U100">
        <v>800</v>
      </c>
    </row>
    <row r="101" spans="1:21">
      <c r="A101">
        <v>44849</v>
      </c>
      <c r="B101" t="s">
        <v>52</v>
      </c>
      <c r="C101" t="s">
        <v>327</v>
      </c>
      <c r="D101" t="s">
        <v>163</v>
      </c>
      <c r="E101" t="s">
        <v>167</v>
      </c>
      <c r="F101" t="s">
        <v>1082</v>
      </c>
      <c r="G101">
        <v>0.33402777777777776</v>
      </c>
      <c r="H101" t="s">
        <v>1091</v>
      </c>
      <c r="I101">
        <v>0.8354166666666667</v>
      </c>
      <c r="J101">
        <v>550</v>
      </c>
      <c r="K101">
        <v>0</v>
      </c>
      <c r="L101">
        <v>200</v>
      </c>
      <c r="M101">
        <v>0</v>
      </c>
      <c r="N101">
        <v>0</v>
      </c>
      <c r="O101">
        <v>0</v>
      </c>
      <c r="P101" t="s">
        <v>192</v>
      </c>
      <c r="S101">
        <v>12.033333333333333</v>
      </c>
      <c r="T101">
        <v>200</v>
      </c>
      <c r="U101">
        <v>950</v>
      </c>
    </row>
    <row r="102" spans="1:21">
      <c r="A102">
        <v>44835</v>
      </c>
      <c r="B102" t="s">
        <v>340</v>
      </c>
      <c r="C102" t="s">
        <v>341</v>
      </c>
      <c r="D102" t="s">
        <v>163</v>
      </c>
      <c r="E102" t="s">
        <v>167</v>
      </c>
      <c r="F102" t="s">
        <v>1092</v>
      </c>
      <c r="G102">
        <v>0.30069444444444443</v>
      </c>
      <c r="H102" t="s">
        <v>1093</v>
      </c>
      <c r="I102">
        <v>0.85833333333333328</v>
      </c>
      <c r="J102">
        <v>0</v>
      </c>
      <c r="K102">
        <v>0</v>
      </c>
      <c r="L102">
        <v>0</v>
      </c>
      <c r="M102">
        <v>150</v>
      </c>
      <c r="N102">
        <v>0</v>
      </c>
      <c r="O102">
        <v>0</v>
      </c>
      <c r="P102" t="s">
        <v>1094</v>
      </c>
      <c r="S102">
        <v>13.383333333333331</v>
      </c>
      <c r="T102">
        <v>200</v>
      </c>
      <c r="U102">
        <v>200</v>
      </c>
    </row>
    <row r="103" spans="1:21">
      <c r="A103">
        <v>44837</v>
      </c>
      <c r="B103" t="s">
        <v>340</v>
      </c>
      <c r="C103" t="s">
        <v>341</v>
      </c>
      <c r="D103" t="s">
        <v>163</v>
      </c>
      <c r="E103" t="s">
        <v>167</v>
      </c>
      <c r="F103" t="s">
        <v>1092</v>
      </c>
      <c r="G103">
        <v>0.26180555555555557</v>
      </c>
      <c r="H103" t="s">
        <v>1093</v>
      </c>
      <c r="I103">
        <v>0.94027777777777777</v>
      </c>
      <c r="J103">
        <v>0</v>
      </c>
      <c r="K103">
        <v>0</v>
      </c>
      <c r="L103">
        <v>0</v>
      </c>
      <c r="M103">
        <v>150</v>
      </c>
      <c r="N103">
        <v>0</v>
      </c>
      <c r="O103">
        <v>0</v>
      </c>
      <c r="P103" t="s">
        <v>1094</v>
      </c>
      <c r="S103">
        <v>16.283333333333331</v>
      </c>
      <c r="T103">
        <v>200</v>
      </c>
      <c r="U103">
        <v>200</v>
      </c>
    </row>
    <row r="104" spans="1:21">
      <c r="A104">
        <v>44838</v>
      </c>
      <c r="B104" t="s">
        <v>340</v>
      </c>
      <c r="C104" t="s">
        <v>341</v>
      </c>
      <c r="D104" t="s">
        <v>163</v>
      </c>
      <c r="E104" t="s">
        <v>167</v>
      </c>
      <c r="F104" t="s">
        <v>1095</v>
      </c>
      <c r="G104">
        <v>0.25972222222222224</v>
      </c>
      <c r="H104" t="s">
        <v>1095</v>
      </c>
      <c r="I104">
        <v>0.87916666666666665</v>
      </c>
      <c r="J104">
        <v>550</v>
      </c>
      <c r="K104">
        <v>0</v>
      </c>
      <c r="L104">
        <v>0</v>
      </c>
      <c r="M104">
        <v>150</v>
      </c>
      <c r="N104">
        <v>0</v>
      </c>
      <c r="O104">
        <v>0</v>
      </c>
      <c r="P104" t="s">
        <v>1094</v>
      </c>
      <c r="S104">
        <v>14.866666666666667</v>
      </c>
      <c r="T104">
        <v>200</v>
      </c>
      <c r="U104">
        <v>750</v>
      </c>
    </row>
    <row r="105" spans="1:21">
      <c r="A105">
        <v>44839</v>
      </c>
      <c r="B105" t="s">
        <v>340</v>
      </c>
      <c r="C105" t="s">
        <v>341</v>
      </c>
      <c r="D105" t="s">
        <v>163</v>
      </c>
      <c r="E105" t="s">
        <v>167</v>
      </c>
      <c r="F105" t="s">
        <v>1096</v>
      </c>
      <c r="G105">
        <v>0.2361111111111111</v>
      </c>
      <c r="H105" t="s">
        <v>1093</v>
      </c>
      <c r="I105">
        <v>0.76388888888888884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 t="s">
        <v>1094</v>
      </c>
      <c r="S105">
        <v>12.666666666666664</v>
      </c>
      <c r="T105">
        <v>200</v>
      </c>
      <c r="U105">
        <v>200</v>
      </c>
    </row>
    <row r="106" spans="1:21">
      <c r="A106">
        <v>44840</v>
      </c>
      <c r="B106" t="s">
        <v>340</v>
      </c>
      <c r="C106" t="s">
        <v>341</v>
      </c>
      <c r="D106" t="s">
        <v>163</v>
      </c>
      <c r="E106" t="s">
        <v>167</v>
      </c>
      <c r="F106" t="s">
        <v>1092</v>
      </c>
      <c r="G106">
        <v>0.3263888888888889</v>
      </c>
      <c r="H106" t="s">
        <v>1093</v>
      </c>
      <c r="I106">
        <v>0.86319444444444449</v>
      </c>
      <c r="J106">
        <v>0</v>
      </c>
      <c r="K106">
        <v>0</v>
      </c>
      <c r="L106">
        <v>0</v>
      </c>
      <c r="M106">
        <v>150</v>
      </c>
      <c r="N106">
        <v>0</v>
      </c>
      <c r="O106">
        <v>0</v>
      </c>
      <c r="P106" t="s">
        <v>1094</v>
      </c>
      <c r="S106">
        <v>12.883333333333333</v>
      </c>
      <c r="T106">
        <v>200</v>
      </c>
      <c r="U106">
        <v>200</v>
      </c>
    </row>
    <row r="107" spans="1:21">
      <c r="A107">
        <v>44841</v>
      </c>
      <c r="B107" t="s">
        <v>340</v>
      </c>
      <c r="C107" t="s">
        <v>341</v>
      </c>
      <c r="D107" t="s">
        <v>163</v>
      </c>
      <c r="E107" t="s">
        <v>167</v>
      </c>
      <c r="F107" t="s">
        <v>1092</v>
      </c>
      <c r="G107">
        <v>0.27847222222222223</v>
      </c>
      <c r="H107" t="s">
        <v>1093</v>
      </c>
      <c r="I107">
        <v>0.87638888888888888</v>
      </c>
      <c r="J107">
        <v>170</v>
      </c>
      <c r="K107">
        <v>0</v>
      </c>
      <c r="L107">
        <v>0</v>
      </c>
      <c r="M107">
        <v>150</v>
      </c>
      <c r="N107">
        <v>0</v>
      </c>
      <c r="O107">
        <v>0</v>
      </c>
      <c r="P107" t="s">
        <v>1094</v>
      </c>
      <c r="S107">
        <v>14.35</v>
      </c>
      <c r="T107">
        <v>200</v>
      </c>
      <c r="U107">
        <v>370</v>
      </c>
    </row>
    <row r="108" spans="1:21">
      <c r="A108">
        <v>44842</v>
      </c>
      <c r="B108" t="s">
        <v>340</v>
      </c>
      <c r="C108" t="s">
        <v>341</v>
      </c>
      <c r="D108" t="s">
        <v>163</v>
      </c>
      <c r="E108" t="s">
        <v>167</v>
      </c>
      <c r="F108" t="s">
        <v>1095</v>
      </c>
      <c r="G108">
        <v>0.33194444444444443</v>
      </c>
      <c r="H108" t="s">
        <v>1096</v>
      </c>
      <c r="I108">
        <v>0.90138888888888891</v>
      </c>
      <c r="J108">
        <v>0</v>
      </c>
      <c r="K108">
        <v>0</v>
      </c>
      <c r="L108">
        <v>0</v>
      </c>
      <c r="M108">
        <v>150</v>
      </c>
      <c r="N108">
        <v>0</v>
      </c>
      <c r="O108">
        <v>0</v>
      </c>
      <c r="P108" t="s">
        <v>1094</v>
      </c>
      <c r="S108">
        <v>13.666666666666666</v>
      </c>
      <c r="T108">
        <v>200</v>
      </c>
      <c r="U108">
        <v>200</v>
      </c>
    </row>
    <row r="109" spans="1:21">
      <c r="A109">
        <v>44843</v>
      </c>
      <c r="B109" t="s">
        <v>340</v>
      </c>
      <c r="C109" t="s">
        <v>341</v>
      </c>
      <c r="D109" t="s">
        <v>163</v>
      </c>
      <c r="E109" t="s">
        <v>167</v>
      </c>
      <c r="F109" t="s">
        <v>1095</v>
      </c>
      <c r="G109">
        <v>0.25277777777777777</v>
      </c>
      <c r="H109" t="s">
        <v>1095</v>
      </c>
      <c r="I109">
        <v>0.875</v>
      </c>
      <c r="J109">
        <v>550</v>
      </c>
      <c r="K109">
        <v>0</v>
      </c>
      <c r="L109">
        <v>0</v>
      </c>
      <c r="M109">
        <v>0</v>
      </c>
      <c r="N109">
        <v>0</v>
      </c>
      <c r="O109">
        <v>0</v>
      </c>
      <c r="P109" t="s">
        <v>1094</v>
      </c>
      <c r="S109">
        <v>14.933333333333334</v>
      </c>
      <c r="T109">
        <v>200</v>
      </c>
      <c r="U109">
        <v>750</v>
      </c>
    </row>
    <row r="110" spans="1:21">
      <c r="A110">
        <v>44844</v>
      </c>
      <c r="B110" t="s">
        <v>340</v>
      </c>
      <c r="C110" t="s">
        <v>341</v>
      </c>
      <c r="D110" t="s">
        <v>163</v>
      </c>
      <c r="E110" t="s">
        <v>167</v>
      </c>
      <c r="F110" t="s">
        <v>1092</v>
      </c>
      <c r="G110">
        <v>0.32222222222222224</v>
      </c>
      <c r="H110" t="s">
        <v>1096</v>
      </c>
      <c r="I110">
        <v>0.91597222222222219</v>
      </c>
      <c r="J110">
        <v>0</v>
      </c>
      <c r="K110">
        <v>0</v>
      </c>
      <c r="L110">
        <v>0</v>
      </c>
      <c r="M110">
        <v>150</v>
      </c>
      <c r="N110">
        <v>300</v>
      </c>
      <c r="O110">
        <v>0</v>
      </c>
      <c r="P110" t="s">
        <v>1094</v>
      </c>
      <c r="S110">
        <v>14.25</v>
      </c>
      <c r="T110">
        <v>200</v>
      </c>
      <c r="U110">
        <v>500</v>
      </c>
    </row>
    <row r="111" spans="1:21">
      <c r="A111">
        <v>44845</v>
      </c>
      <c r="B111" t="s">
        <v>340</v>
      </c>
      <c r="C111" t="s">
        <v>341</v>
      </c>
      <c r="D111" t="s">
        <v>163</v>
      </c>
      <c r="E111" t="s">
        <v>167</v>
      </c>
      <c r="F111" t="s">
        <v>1092</v>
      </c>
      <c r="G111">
        <v>0.28402777777777777</v>
      </c>
      <c r="H111" t="s">
        <v>1092</v>
      </c>
      <c r="I111">
        <v>7.3611111111111113E-2</v>
      </c>
      <c r="J111">
        <v>0</v>
      </c>
      <c r="K111">
        <v>0</v>
      </c>
      <c r="L111">
        <v>0</v>
      </c>
      <c r="M111">
        <v>150</v>
      </c>
      <c r="N111">
        <v>0</v>
      </c>
      <c r="O111">
        <v>0</v>
      </c>
      <c r="P111" t="s">
        <v>1094</v>
      </c>
      <c r="S111">
        <v>18.95</v>
      </c>
      <c r="T111">
        <v>200</v>
      </c>
      <c r="U111">
        <v>200</v>
      </c>
    </row>
    <row r="112" spans="1:21">
      <c r="A112">
        <v>44846</v>
      </c>
      <c r="B112" t="s">
        <v>340</v>
      </c>
      <c r="C112" t="s">
        <v>341</v>
      </c>
      <c r="D112" t="s">
        <v>163</v>
      </c>
      <c r="E112" t="s">
        <v>167</v>
      </c>
      <c r="F112" t="s">
        <v>1092</v>
      </c>
      <c r="G112">
        <v>7.3611111111111113E-2</v>
      </c>
      <c r="H112" t="s">
        <v>1095</v>
      </c>
      <c r="I112">
        <v>0.90763888888888888</v>
      </c>
      <c r="J112">
        <v>0</v>
      </c>
      <c r="K112">
        <v>0</v>
      </c>
      <c r="L112">
        <v>0</v>
      </c>
      <c r="M112">
        <v>150</v>
      </c>
      <c r="N112">
        <v>0</v>
      </c>
      <c r="O112">
        <v>0</v>
      </c>
      <c r="P112" t="s">
        <v>1094</v>
      </c>
      <c r="S112">
        <v>20.016666666666666</v>
      </c>
      <c r="T112">
        <v>200</v>
      </c>
      <c r="U112">
        <v>200</v>
      </c>
    </row>
    <row r="113" spans="1:21">
      <c r="A113">
        <v>44847</v>
      </c>
      <c r="B113" t="s">
        <v>340</v>
      </c>
      <c r="C113" t="s">
        <v>341</v>
      </c>
      <c r="D113" t="s">
        <v>163</v>
      </c>
      <c r="E113" t="s">
        <v>167</v>
      </c>
      <c r="F113" t="s">
        <v>1097</v>
      </c>
      <c r="G113">
        <v>0.30416666666666664</v>
      </c>
      <c r="H113" t="s">
        <v>1095</v>
      </c>
      <c r="I113">
        <v>0.84722222222222221</v>
      </c>
      <c r="J113">
        <v>550</v>
      </c>
      <c r="K113">
        <v>0</v>
      </c>
      <c r="L113">
        <v>0</v>
      </c>
      <c r="M113">
        <v>150</v>
      </c>
      <c r="N113">
        <v>0</v>
      </c>
      <c r="O113">
        <v>0</v>
      </c>
      <c r="P113" t="s">
        <v>1094</v>
      </c>
      <c r="S113">
        <v>13.033333333333335</v>
      </c>
      <c r="T113">
        <v>200</v>
      </c>
      <c r="U113">
        <v>750</v>
      </c>
    </row>
    <row r="114" spans="1:21">
      <c r="A114">
        <v>44848</v>
      </c>
      <c r="B114" t="s">
        <v>340</v>
      </c>
      <c r="C114" t="s">
        <v>341</v>
      </c>
      <c r="D114" t="s">
        <v>163</v>
      </c>
      <c r="E114" t="s">
        <v>167</v>
      </c>
      <c r="F114" t="s">
        <v>1097</v>
      </c>
      <c r="G114">
        <v>0.25694444444444442</v>
      </c>
      <c r="H114" t="s">
        <v>1096</v>
      </c>
      <c r="I114">
        <v>0.8618055555555556</v>
      </c>
      <c r="J114">
        <v>0</v>
      </c>
      <c r="K114">
        <v>0</v>
      </c>
      <c r="L114">
        <v>0</v>
      </c>
      <c r="M114">
        <v>150</v>
      </c>
      <c r="N114">
        <v>0</v>
      </c>
      <c r="O114">
        <v>0</v>
      </c>
      <c r="P114" t="s">
        <v>1094</v>
      </c>
      <c r="S114">
        <v>14.516666666666666</v>
      </c>
      <c r="T114">
        <v>200</v>
      </c>
      <c r="U114">
        <v>200</v>
      </c>
    </row>
    <row r="115" spans="1:21">
      <c r="A115">
        <v>44849</v>
      </c>
      <c r="B115" t="s">
        <v>340</v>
      </c>
      <c r="C115" t="s">
        <v>341</v>
      </c>
      <c r="D115" t="s">
        <v>163</v>
      </c>
      <c r="E115" t="s">
        <v>167</v>
      </c>
      <c r="F115" t="s">
        <v>1092</v>
      </c>
      <c r="G115">
        <v>0.3215277777777778</v>
      </c>
      <c r="H115" t="s">
        <v>1092</v>
      </c>
      <c r="I115">
        <v>0.90208333333333335</v>
      </c>
      <c r="J115">
        <v>0</v>
      </c>
      <c r="K115">
        <v>0</v>
      </c>
      <c r="L115">
        <v>0</v>
      </c>
      <c r="M115">
        <v>150</v>
      </c>
      <c r="N115">
        <v>0</v>
      </c>
      <c r="O115">
        <v>0</v>
      </c>
      <c r="P115" t="s">
        <v>1094</v>
      </c>
      <c r="S115">
        <v>13.933333333333334</v>
      </c>
      <c r="T115">
        <v>200</v>
      </c>
      <c r="U115">
        <v>200</v>
      </c>
    </row>
    <row r="116" spans="1:21">
      <c r="A116">
        <v>44835</v>
      </c>
      <c r="B116" t="s">
        <v>55</v>
      </c>
      <c r="C116" t="s">
        <v>56</v>
      </c>
      <c r="D116" t="s">
        <v>163</v>
      </c>
      <c r="E116" t="s">
        <v>171</v>
      </c>
      <c r="F116" t="s">
        <v>176</v>
      </c>
      <c r="G116">
        <v>0.32430555555555557</v>
      </c>
      <c r="H116" t="s">
        <v>1098</v>
      </c>
      <c r="I116">
        <v>0.72152777777777777</v>
      </c>
      <c r="J116">
        <v>0</v>
      </c>
      <c r="K116">
        <v>0</v>
      </c>
      <c r="L116">
        <v>0</v>
      </c>
      <c r="M116">
        <v>100</v>
      </c>
      <c r="N116">
        <v>0</v>
      </c>
      <c r="O116">
        <v>0</v>
      </c>
      <c r="P116" t="s">
        <v>177</v>
      </c>
      <c r="S116">
        <v>9.5333333333333332</v>
      </c>
      <c r="T116">
        <v>125</v>
      </c>
      <c r="U116">
        <v>125</v>
      </c>
    </row>
    <row r="117" spans="1:21">
      <c r="A117">
        <v>44837</v>
      </c>
      <c r="B117" t="s">
        <v>55</v>
      </c>
      <c r="C117" t="s">
        <v>56</v>
      </c>
      <c r="D117" t="s">
        <v>163</v>
      </c>
      <c r="E117" t="s">
        <v>171</v>
      </c>
      <c r="F117" t="s">
        <v>1099</v>
      </c>
      <c r="G117">
        <v>0.31388888888888888</v>
      </c>
      <c r="H117" t="s">
        <v>1100</v>
      </c>
      <c r="I117">
        <v>0.77708333333333335</v>
      </c>
      <c r="J117">
        <v>512</v>
      </c>
      <c r="K117">
        <v>0</v>
      </c>
      <c r="L117">
        <v>0</v>
      </c>
      <c r="M117">
        <v>100</v>
      </c>
      <c r="N117">
        <v>0</v>
      </c>
      <c r="O117">
        <v>0</v>
      </c>
      <c r="P117" t="s">
        <v>177</v>
      </c>
      <c r="S117">
        <v>11.116666666666667</v>
      </c>
      <c r="T117">
        <v>125</v>
      </c>
      <c r="U117">
        <v>637</v>
      </c>
    </row>
    <row r="118" spans="1:21">
      <c r="A118">
        <v>44838</v>
      </c>
      <c r="B118" t="s">
        <v>55</v>
      </c>
      <c r="C118" t="s">
        <v>56</v>
      </c>
      <c r="D118" t="s">
        <v>163</v>
      </c>
      <c r="E118" t="s">
        <v>171</v>
      </c>
      <c r="F118" t="s">
        <v>1101</v>
      </c>
      <c r="G118">
        <v>0.3125</v>
      </c>
      <c r="H118" t="s">
        <v>1098</v>
      </c>
      <c r="I118">
        <v>0.76875000000000004</v>
      </c>
      <c r="J118">
        <v>0</v>
      </c>
      <c r="K118">
        <v>0</v>
      </c>
      <c r="L118">
        <v>0</v>
      </c>
      <c r="M118">
        <v>100</v>
      </c>
      <c r="N118">
        <v>0</v>
      </c>
      <c r="O118">
        <v>0</v>
      </c>
      <c r="P118" t="s">
        <v>177</v>
      </c>
      <c r="S118">
        <v>10.95</v>
      </c>
      <c r="T118">
        <v>125</v>
      </c>
      <c r="U118">
        <v>125</v>
      </c>
    </row>
    <row r="119" spans="1:21">
      <c r="A119">
        <v>44840</v>
      </c>
      <c r="B119" t="s">
        <v>55</v>
      </c>
      <c r="C119" t="s">
        <v>56</v>
      </c>
      <c r="D119" t="s">
        <v>163</v>
      </c>
      <c r="E119" t="s">
        <v>171</v>
      </c>
      <c r="F119" t="s">
        <v>1100</v>
      </c>
      <c r="G119">
        <v>0.35347222222222224</v>
      </c>
      <c r="H119" t="s">
        <v>176</v>
      </c>
      <c r="I119">
        <v>0.37152777777777779</v>
      </c>
      <c r="J119">
        <v>0</v>
      </c>
      <c r="K119">
        <v>0</v>
      </c>
      <c r="L119">
        <v>0</v>
      </c>
      <c r="M119">
        <v>100</v>
      </c>
      <c r="N119">
        <v>0</v>
      </c>
      <c r="O119">
        <v>0</v>
      </c>
      <c r="P119" t="s">
        <v>177</v>
      </c>
      <c r="S119">
        <v>0.43333333333333446</v>
      </c>
      <c r="T119">
        <v>0</v>
      </c>
      <c r="U119">
        <v>0</v>
      </c>
    </row>
    <row r="120" spans="1:21">
      <c r="A120">
        <v>44841</v>
      </c>
      <c r="B120" t="s">
        <v>55</v>
      </c>
      <c r="C120" t="s">
        <v>56</v>
      </c>
      <c r="D120" t="s">
        <v>163</v>
      </c>
      <c r="E120" t="s">
        <v>171</v>
      </c>
      <c r="F120" t="s">
        <v>176</v>
      </c>
      <c r="G120">
        <v>0.37152777777777779</v>
      </c>
      <c r="H120" t="s">
        <v>1100</v>
      </c>
      <c r="I120">
        <v>0.76875000000000004</v>
      </c>
      <c r="J120">
        <v>0</v>
      </c>
      <c r="K120">
        <v>0</v>
      </c>
      <c r="L120">
        <v>0</v>
      </c>
      <c r="M120">
        <v>100</v>
      </c>
      <c r="N120">
        <v>0</v>
      </c>
      <c r="O120">
        <v>0</v>
      </c>
      <c r="P120" t="s">
        <v>177</v>
      </c>
      <c r="S120">
        <v>9.5333333333333314</v>
      </c>
      <c r="T120">
        <v>125</v>
      </c>
      <c r="U120">
        <v>125</v>
      </c>
    </row>
    <row r="121" spans="1:21">
      <c r="A121">
        <v>44842</v>
      </c>
      <c r="B121" t="s">
        <v>55</v>
      </c>
      <c r="C121" t="s">
        <v>56</v>
      </c>
      <c r="D121" t="s">
        <v>163</v>
      </c>
      <c r="E121" t="s">
        <v>171</v>
      </c>
      <c r="F121" t="s">
        <v>176</v>
      </c>
      <c r="G121">
        <v>0.33611111111111114</v>
      </c>
      <c r="H121" t="s">
        <v>1100</v>
      </c>
      <c r="I121">
        <v>0.77916666666666667</v>
      </c>
      <c r="J121">
        <v>0</v>
      </c>
      <c r="K121">
        <v>0</v>
      </c>
      <c r="L121">
        <v>0</v>
      </c>
      <c r="M121">
        <v>100</v>
      </c>
      <c r="N121">
        <v>0</v>
      </c>
      <c r="O121">
        <v>0</v>
      </c>
      <c r="P121" t="s">
        <v>177</v>
      </c>
      <c r="S121">
        <v>10.633333333333335</v>
      </c>
      <c r="T121">
        <v>125</v>
      </c>
      <c r="U121">
        <v>125</v>
      </c>
    </row>
    <row r="122" spans="1:21">
      <c r="A122">
        <v>44844</v>
      </c>
      <c r="B122" t="s">
        <v>55</v>
      </c>
      <c r="C122" t="s">
        <v>56</v>
      </c>
      <c r="D122" t="s">
        <v>163</v>
      </c>
      <c r="E122" t="s">
        <v>171</v>
      </c>
      <c r="F122" t="s">
        <v>176</v>
      </c>
      <c r="G122">
        <v>0.3527777777777778</v>
      </c>
      <c r="H122" t="s">
        <v>1102</v>
      </c>
      <c r="I122">
        <v>0.81874999999999998</v>
      </c>
      <c r="J122">
        <v>0</v>
      </c>
      <c r="K122">
        <v>0</v>
      </c>
      <c r="L122">
        <v>0</v>
      </c>
      <c r="M122">
        <v>100</v>
      </c>
      <c r="N122">
        <v>0</v>
      </c>
      <c r="O122">
        <v>0</v>
      </c>
      <c r="P122" t="s">
        <v>177</v>
      </c>
      <c r="S122">
        <v>11.183333333333334</v>
      </c>
      <c r="T122">
        <v>125</v>
      </c>
      <c r="U122">
        <v>125</v>
      </c>
    </row>
    <row r="123" spans="1:21">
      <c r="A123">
        <v>44845</v>
      </c>
      <c r="B123" t="s">
        <v>55</v>
      </c>
      <c r="C123" t="s">
        <v>56</v>
      </c>
      <c r="D123" t="s">
        <v>163</v>
      </c>
      <c r="E123" t="s">
        <v>171</v>
      </c>
      <c r="F123" t="s">
        <v>1103</v>
      </c>
      <c r="G123">
        <v>0.34930555555555554</v>
      </c>
      <c r="H123" t="s">
        <v>1100</v>
      </c>
      <c r="I123">
        <v>0.7680555555555556</v>
      </c>
      <c r="J123">
        <v>0</v>
      </c>
      <c r="K123">
        <v>0</v>
      </c>
      <c r="L123">
        <v>0</v>
      </c>
      <c r="M123">
        <v>100</v>
      </c>
      <c r="N123">
        <v>0</v>
      </c>
      <c r="O123">
        <v>0</v>
      </c>
      <c r="P123" t="s">
        <v>177</v>
      </c>
      <c r="S123">
        <v>10.049999999999999</v>
      </c>
      <c r="T123">
        <v>125</v>
      </c>
      <c r="U123">
        <v>125</v>
      </c>
    </row>
    <row r="124" spans="1:21">
      <c r="A124">
        <v>44846</v>
      </c>
      <c r="B124" t="s">
        <v>55</v>
      </c>
      <c r="C124" t="s">
        <v>56</v>
      </c>
      <c r="D124" t="s">
        <v>163</v>
      </c>
      <c r="E124" t="s">
        <v>171</v>
      </c>
      <c r="F124" t="s">
        <v>1100</v>
      </c>
      <c r="G124">
        <v>0.34861111111111109</v>
      </c>
      <c r="H124" t="s">
        <v>1100</v>
      </c>
      <c r="I124">
        <v>0.75347222222222221</v>
      </c>
      <c r="J124">
        <v>512</v>
      </c>
      <c r="K124">
        <v>0</v>
      </c>
      <c r="L124">
        <v>0</v>
      </c>
      <c r="M124">
        <v>100</v>
      </c>
      <c r="N124">
        <v>30</v>
      </c>
      <c r="O124">
        <v>0</v>
      </c>
      <c r="P124" t="s">
        <v>177</v>
      </c>
      <c r="S124">
        <v>9.7166666666666668</v>
      </c>
      <c r="T124">
        <v>125</v>
      </c>
      <c r="U124">
        <v>667</v>
      </c>
    </row>
    <row r="125" spans="1:21">
      <c r="A125">
        <v>44847</v>
      </c>
      <c r="B125" t="s">
        <v>55</v>
      </c>
      <c r="C125" t="s">
        <v>56</v>
      </c>
      <c r="D125" t="s">
        <v>163</v>
      </c>
      <c r="E125" t="s">
        <v>171</v>
      </c>
      <c r="F125" t="s">
        <v>1104</v>
      </c>
      <c r="G125">
        <v>0.39861111111111114</v>
      </c>
      <c r="H125" t="s">
        <v>1100</v>
      </c>
      <c r="I125">
        <v>0.78263888888888888</v>
      </c>
      <c r="J125">
        <v>0</v>
      </c>
      <c r="K125">
        <v>0</v>
      </c>
      <c r="L125">
        <v>0</v>
      </c>
      <c r="M125">
        <v>100</v>
      </c>
      <c r="N125">
        <v>0</v>
      </c>
      <c r="O125">
        <v>0</v>
      </c>
      <c r="P125" t="s">
        <v>177</v>
      </c>
      <c r="S125">
        <v>9.2166666666666668</v>
      </c>
      <c r="T125">
        <v>125</v>
      </c>
      <c r="U125">
        <v>125</v>
      </c>
    </row>
    <row r="126" spans="1:21">
      <c r="A126">
        <v>44848</v>
      </c>
      <c r="B126" t="s">
        <v>55</v>
      </c>
      <c r="C126" t="s">
        <v>56</v>
      </c>
      <c r="D126" t="s">
        <v>163</v>
      </c>
      <c r="E126" t="s">
        <v>171</v>
      </c>
      <c r="F126" t="s">
        <v>176</v>
      </c>
      <c r="G126">
        <v>0.34652777777777777</v>
      </c>
      <c r="H126" t="s">
        <v>1100</v>
      </c>
      <c r="I126">
        <v>0.74236111111111114</v>
      </c>
      <c r="J126">
        <v>0</v>
      </c>
      <c r="K126">
        <v>0</v>
      </c>
      <c r="L126">
        <v>0</v>
      </c>
      <c r="M126">
        <v>100</v>
      </c>
      <c r="N126">
        <v>0</v>
      </c>
      <c r="O126">
        <v>0</v>
      </c>
      <c r="P126" t="s">
        <v>177</v>
      </c>
      <c r="S126">
        <v>9.4999999999999982</v>
      </c>
      <c r="T126">
        <v>125</v>
      </c>
      <c r="U126">
        <v>125</v>
      </c>
    </row>
    <row r="127" spans="1:21">
      <c r="A127">
        <v>44849</v>
      </c>
      <c r="B127" t="s">
        <v>55</v>
      </c>
      <c r="C127" t="s">
        <v>56</v>
      </c>
      <c r="D127" t="s">
        <v>163</v>
      </c>
      <c r="E127" t="s">
        <v>171</v>
      </c>
      <c r="F127" t="s">
        <v>176</v>
      </c>
      <c r="G127">
        <v>0.34236111111111112</v>
      </c>
      <c r="H127" t="s">
        <v>176</v>
      </c>
      <c r="I127">
        <v>0.73888888888888893</v>
      </c>
      <c r="J127">
        <v>0</v>
      </c>
      <c r="K127">
        <v>0</v>
      </c>
      <c r="L127">
        <v>0</v>
      </c>
      <c r="M127">
        <v>100</v>
      </c>
      <c r="N127">
        <v>0</v>
      </c>
      <c r="O127">
        <v>0</v>
      </c>
      <c r="P127" t="s">
        <v>177</v>
      </c>
      <c r="S127">
        <v>9.5166666666666657</v>
      </c>
      <c r="T127">
        <v>125</v>
      </c>
      <c r="U127">
        <v>125</v>
      </c>
    </row>
    <row r="128" spans="1:21">
      <c r="A128">
        <v>44835</v>
      </c>
      <c r="B128" t="s">
        <v>367</v>
      </c>
      <c r="C128" t="s">
        <v>368</v>
      </c>
      <c r="D128" t="s">
        <v>227</v>
      </c>
      <c r="E128" t="s">
        <v>171</v>
      </c>
      <c r="F128" t="s">
        <v>1105</v>
      </c>
      <c r="G128">
        <v>0.29722222222222222</v>
      </c>
      <c r="H128" t="s">
        <v>1106</v>
      </c>
      <c r="I128">
        <v>0.78333333333333333</v>
      </c>
      <c r="J128">
        <v>300</v>
      </c>
      <c r="K128">
        <v>0</v>
      </c>
      <c r="L128">
        <v>0</v>
      </c>
      <c r="M128">
        <v>100</v>
      </c>
      <c r="N128">
        <v>0</v>
      </c>
      <c r="O128">
        <v>0</v>
      </c>
      <c r="P128" t="s">
        <v>1107</v>
      </c>
      <c r="S128">
        <v>11.666666666666666</v>
      </c>
      <c r="T128">
        <v>125</v>
      </c>
      <c r="U128">
        <v>425</v>
      </c>
    </row>
    <row r="129" spans="1:21">
      <c r="A129">
        <v>44837</v>
      </c>
      <c r="B129" t="s">
        <v>367</v>
      </c>
      <c r="C129" t="s">
        <v>368</v>
      </c>
      <c r="D129" t="s">
        <v>227</v>
      </c>
      <c r="E129" t="s">
        <v>171</v>
      </c>
      <c r="F129" t="s">
        <v>1106</v>
      </c>
      <c r="G129">
        <v>0.28125</v>
      </c>
      <c r="H129" t="s">
        <v>1106</v>
      </c>
      <c r="I129">
        <v>0.77777777777777779</v>
      </c>
      <c r="J129">
        <v>0</v>
      </c>
      <c r="K129">
        <v>0</v>
      </c>
      <c r="L129">
        <v>0</v>
      </c>
      <c r="M129">
        <v>100</v>
      </c>
      <c r="N129">
        <v>0</v>
      </c>
      <c r="O129">
        <v>0</v>
      </c>
      <c r="P129" t="s">
        <v>1107</v>
      </c>
      <c r="S129">
        <v>11.916666666666668</v>
      </c>
      <c r="T129">
        <v>125</v>
      </c>
      <c r="U129">
        <v>125</v>
      </c>
    </row>
    <row r="130" spans="1:21">
      <c r="A130">
        <v>44838</v>
      </c>
      <c r="B130" t="s">
        <v>367</v>
      </c>
      <c r="C130" t="s">
        <v>368</v>
      </c>
      <c r="D130" t="s">
        <v>227</v>
      </c>
      <c r="E130" t="s">
        <v>171</v>
      </c>
      <c r="F130" t="s">
        <v>1105</v>
      </c>
      <c r="G130">
        <v>0.30138888888888887</v>
      </c>
      <c r="H130" t="s">
        <v>1106</v>
      </c>
      <c r="I130">
        <v>0.78749999999999998</v>
      </c>
      <c r="J130">
        <v>300</v>
      </c>
      <c r="K130">
        <v>0</v>
      </c>
      <c r="L130">
        <v>0</v>
      </c>
      <c r="M130">
        <v>100</v>
      </c>
      <c r="N130">
        <v>0</v>
      </c>
      <c r="O130">
        <v>0</v>
      </c>
      <c r="P130" t="s">
        <v>1107</v>
      </c>
      <c r="S130">
        <v>11.666666666666666</v>
      </c>
      <c r="T130">
        <v>125</v>
      </c>
      <c r="U130">
        <v>425</v>
      </c>
    </row>
    <row r="131" spans="1:21">
      <c r="A131">
        <v>44840</v>
      </c>
      <c r="B131" t="s">
        <v>367</v>
      </c>
      <c r="C131" t="s">
        <v>368</v>
      </c>
      <c r="D131" t="s">
        <v>227</v>
      </c>
      <c r="E131" t="s">
        <v>171</v>
      </c>
      <c r="F131" t="s">
        <v>1106</v>
      </c>
      <c r="G131">
        <v>0.28611111111111109</v>
      </c>
      <c r="H131" t="s">
        <v>1108</v>
      </c>
      <c r="I131">
        <v>0.79236111111111107</v>
      </c>
      <c r="J131">
        <v>0</v>
      </c>
      <c r="K131">
        <v>0</v>
      </c>
      <c r="L131">
        <v>0</v>
      </c>
      <c r="M131">
        <v>100</v>
      </c>
      <c r="N131">
        <v>0</v>
      </c>
      <c r="O131">
        <v>0</v>
      </c>
      <c r="P131" t="s">
        <v>1107</v>
      </c>
      <c r="S131">
        <v>12.149999999999999</v>
      </c>
      <c r="T131">
        <v>125</v>
      </c>
      <c r="U131">
        <v>125</v>
      </c>
    </row>
    <row r="132" spans="1:21">
      <c r="A132">
        <v>44841</v>
      </c>
      <c r="B132" t="s">
        <v>367</v>
      </c>
      <c r="C132" t="s">
        <v>368</v>
      </c>
      <c r="D132" t="s">
        <v>227</v>
      </c>
      <c r="E132" t="s">
        <v>171</v>
      </c>
      <c r="F132" t="s">
        <v>1106</v>
      </c>
      <c r="G132">
        <v>0.28125</v>
      </c>
      <c r="H132" t="s">
        <v>1105</v>
      </c>
      <c r="I132">
        <v>0.7895833333333333</v>
      </c>
      <c r="J132">
        <v>320</v>
      </c>
      <c r="K132">
        <v>0</v>
      </c>
      <c r="L132">
        <v>0</v>
      </c>
      <c r="M132">
        <v>100</v>
      </c>
      <c r="N132">
        <v>0</v>
      </c>
      <c r="O132">
        <v>0</v>
      </c>
      <c r="P132" t="s">
        <v>1107</v>
      </c>
      <c r="S132">
        <v>12.2</v>
      </c>
      <c r="T132">
        <v>125</v>
      </c>
      <c r="U132">
        <v>445</v>
      </c>
    </row>
    <row r="133" spans="1:21">
      <c r="A133">
        <v>44844</v>
      </c>
      <c r="B133" t="s">
        <v>367</v>
      </c>
      <c r="C133" t="s">
        <v>368</v>
      </c>
      <c r="D133" t="s">
        <v>227</v>
      </c>
      <c r="E133" t="s">
        <v>171</v>
      </c>
      <c r="F133" t="s">
        <v>1109</v>
      </c>
      <c r="G133">
        <v>0.4</v>
      </c>
      <c r="H133" t="s">
        <v>1109</v>
      </c>
      <c r="I133">
        <v>0.76875000000000004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 t="s">
        <v>1107</v>
      </c>
      <c r="S133">
        <v>8.85</v>
      </c>
      <c r="T133">
        <v>125</v>
      </c>
      <c r="U133">
        <v>125</v>
      </c>
    </row>
    <row r="134" spans="1:21">
      <c r="A134">
        <v>44845</v>
      </c>
      <c r="B134" t="s">
        <v>367</v>
      </c>
      <c r="C134" t="s">
        <v>368</v>
      </c>
      <c r="D134" t="s">
        <v>227</v>
      </c>
      <c r="E134" t="s">
        <v>171</v>
      </c>
      <c r="F134" t="s">
        <v>1109</v>
      </c>
      <c r="G134">
        <v>0.3840277777777778</v>
      </c>
      <c r="H134" t="s">
        <v>1110</v>
      </c>
      <c r="I134">
        <v>0.78680555555555554</v>
      </c>
      <c r="J134">
        <v>0</v>
      </c>
      <c r="K134">
        <v>0</v>
      </c>
      <c r="L134">
        <v>0</v>
      </c>
      <c r="M134">
        <v>100</v>
      </c>
      <c r="N134">
        <v>0</v>
      </c>
      <c r="O134">
        <v>0</v>
      </c>
      <c r="P134" t="s">
        <v>1107</v>
      </c>
      <c r="S134">
        <v>9.6666666666666679</v>
      </c>
      <c r="T134">
        <v>125</v>
      </c>
      <c r="U134">
        <v>125</v>
      </c>
    </row>
    <row r="135" spans="1:21">
      <c r="A135">
        <v>44835</v>
      </c>
      <c r="B135" t="s">
        <v>375</v>
      </c>
      <c r="C135" t="s">
        <v>376</v>
      </c>
      <c r="D135" t="s">
        <v>227</v>
      </c>
      <c r="E135" t="s">
        <v>171</v>
      </c>
      <c r="F135" t="s">
        <v>178</v>
      </c>
      <c r="G135">
        <v>0.30972222222222223</v>
      </c>
      <c r="H135" t="s">
        <v>1111</v>
      </c>
      <c r="I135">
        <v>0.78402777777777777</v>
      </c>
      <c r="J135">
        <v>600</v>
      </c>
      <c r="K135">
        <v>0</v>
      </c>
      <c r="L135">
        <v>200</v>
      </c>
      <c r="M135">
        <v>0</v>
      </c>
      <c r="N135">
        <v>0</v>
      </c>
      <c r="O135">
        <v>0</v>
      </c>
      <c r="P135" t="s">
        <v>1112</v>
      </c>
      <c r="S135">
        <v>11.383333333333333</v>
      </c>
      <c r="T135">
        <v>125</v>
      </c>
      <c r="U135">
        <v>925</v>
      </c>
    </row>
    <row r="136" spans="1:21">
      <c r="A136">
        <v>44837</v>
      </c>
      <c r="B136" t="s">
        <v>375</v>
      </c>
      <c r="C136" t="s">
        <v>376</v>
      </c>
      <c r="D136" t="s">
        <v>227</v>
      </c>
      <c r="E136" t="s">
        <v>171</v>
      </c>
      <c r="F136" t="s">
        <v>1113</v>
      </c>
      <c r="G136">
        <v>0.2986111111111111</v>
      </c>
      <c r="H136" t="s">
        <v>1111</v>
      </c>
      <c r="I136">
        <v>0.76527777777777772</v>
      </c>
      <c r="J136">
        <v>0</v>
      </c>
      <c r="K136">
        <v>0</v>
      </c>
      <c r="L136">
        <v>200</v>
      </c>
      <c r="M136">
        <v>0</v>
      </c>
      <c r="N136">
        <v>0</v>
      </c>
      <c r="O136">
        <v>0</v>
      </c>
      <c r="P136" t="s">
        <v>1112</v>
      </c>
      <c r="S136">
        <v>11.2</v>
      </c>
      <c r="T136">
        <v>125</v>
      </c>
      <c r="U136">
        <v>325</v>
      </c>
    </row>
    <row r="137" spans="1:21">
      <c r="A137">
        <v>44838</v>
      </c>
      <c r="B137" t="s">
        <v>375</v>
      </c>
      <c r="C137" t="s">
        <v>376</v>
      </c>
      <c r="D137" t="s">
        <v>227</v>
      </c>
      <c r="E137" t="s">
        <v>171</v>
      </c>
      <c r="F137" t="s">
        <v>1113</v>
      </c>
      <c r="G137">
        <v>0.30138888888888887</v>
      </c>
      <c r="H137" t="s">
        <v>1111</v>
      </c>
      <c r="I137">
        <v>0.80347222222222225</v>
      </c>
      <c r="J137">
        <v>0</v>
      </c>
      <c r="K137">
        <v>0</v>
      </c>
      <c r="L137">
        <v>200</v>
      </c>
      <c r="M137">
        <v>0</v>
      </c>
      <c r="N137">
        <v>0</v>
      </c>
      <c r="O137">
        <v>0</v>
      </c>
      <c r="P137" t="s">
        <v>1112</v>
      </c>
      <c r="S137">
        <v>12.049999999999997</v>
      </c>
      <c r="T137">
        <v>125</v>
      </c>
      <c r="U137">
        <v>325</v>
      </c>
    </row>
    <row r="138" spans="1:21">
      <c r="A138">
        <v>44839</v>
      </c>
      <c r="B138" t="s">
        <v>375</v>
      </c>
      <c r="C138" t="s">
        <v>376</v>
      </c>
      <c r="D138" t="s">
        <v>227</v>
      </c>
      <c r="E138" t="s">
        <v>171</v>
      </c>
      <c r="F138" t="s">
        <v>1113</v>
      </c>
      <c r="G138">
        <v>0.28402777777777777</v>
      </c>
      <c r="H138" t="s">
        <v>1111</v>
      </c>
      <c r="I138">
        <v>0.74652777777777779</v>
      </c>
      <c r="J138">
        <v>0</v>
      </c>
      <c r="K138">
        <v>0</v>
      </c>
      <c r="L138">
        <v>200</v>
      </c>
      <c r="M138">
        <v>0</v>
      </c>
      <c r="N138">
        <v>0</v>
      </c>
      <c r="O138">
        <v>0</v>
      </c>
      <c r="P138" t="s">
        <v>1112</v>
      </c>
      <c r="S138">
        <v>11.100000000000001</v>
      </c>
      <c r="T138">
        <v>125</v>
      </c>
      <c r="U138">
        <v>325</v>
      </c>
    </row>
    <row r="139" spans="1:21">
      <c r="A139">
        <v>44840</v>
      </c>
      <c r="B139" t="s">
        <v>375</v>
      </c>
      <c r="C139" t="s">
        <v>376</v>
      </c>
      <c r="D139" t="s">
        <v>227</v>
      </c>
      <c r="E139" t="s">
        <v>171</v>
      </c>
      <c r="F139" t="s">
        <v>1113</v>
      </c>
      <c r="G139">
        <v>0.30833333333333335</v>
      </c>
      <c r="H139" t="s">
        <v>1111</v>
      </c>
      <c r="I139">
        <v>0.79027777777777775</v>
      </c>
      <c r="J139">
        <v>0</v>
      </c>
      <c r="K139">
        <v>0</v>
      </c>
      <c r="L139">
        <v>200</v>
      </c>
      <c r="M139">
        <v>0</v>
      </c>
      <c r="N139">
        <v>0</v>
      </c>
      <c r="O139">
        <v>0</v>
      </c>
      <c r="P139" t="s">
        <v>1112</v>
      </c>
      <c r="S139">
        <v>11.566666666666666</v>
      </c>
      <c r="T139">
        <v>125</v>
      </c>
      <c r="U139">
        <v>325</v>
      </c>
    </row>
    <row r="140" spans="1:21">
      <c r="A140">
        <v>44841</v>
      </c>
      <c r="B140" t="s">
        <v>375</v>
      </c>
      <c r="C140" t="s">
        <v>376</v>
      </c>
      <c r="D140" t="s">
        <v>227</v>
      </c>
      <c r="E140" t="s">
        <v>171</v>
      </c>
      <c r="F140" t="s">
        <v>1114</v>
      </c>
      <c r="G140">
        <v>0.30833333333333335</v>
      </c>
      <c r="H140" t="s">
        <v>1111</v>
      </c>
      <c r="I140">
        <v>0.79374999999999996</v>
      </c>
      <c r="J140">
        <v>999.81</v>
      </c>
      <c r="K140">
        <v>0</v>
      </c>
      <c r="L140">
        <v>200</v>
      </c>
      <c r="M140">
        <v>0</v>
      </c>
      <c r="N140">
        <v>0</v>
      </c>
      <c r="O140">
        <v>0</v>
      </c>
      <c r="P140" t="s">
        <v>1112</v>
      </c>
      <c r="S140">
        <v>11.649999999999999</v>
      </c>
      <c r="T140">
        <v>125</v>
      </c>
      <c r="U140">
        <v>1324.81</v>
      </c>
    </row>
    <row r="141" spans="1:21">
      <c r="A141">
        <v>44842</v>
      </c>
      <c r="B141" t="s">
        <v>375</v>
      </c>
      <c r="C141" t="s">
        <v>376</v>
      </c>
      <c r="D141" t="s">
        <v>227</v>
      </c>
      <c r="E141" t="s">
        <v>171</v>
      </c>
      <c r="F141" t="s">
        <v>1114</v>
      </c>
      <c r="G141">
        <v>0.30763888888888891</v>
      </c>
      <c r="H141" t="s">
        <v>1111</v>
      </c>
      <c r="I141">
        <v>0.77430555555555558</v>
      </c>
      <c r="J141">
        <v>0</v>
      </c>
      <c r="K141">
        <v>0</v>
      </c>
      <c r="L141">
        <v>200</v>
      </c>
      <c r="M141">
        <v>0</v>
      </c>
      <c r="N141">
        <v>0</v>
      </c>
      <c r="O141">
        <v>0</v>
      </c>
      <c r="P141" t="s">
        <v>1112</v>
      </c>
      <c r="S141">
        <v>11.2</v>
      </c>
      <c r="T141">
        <v>125</v>
      </c>
      <c r="U141">
        <v>325</v>
      </c>
    </row>
    <row r="142" spans="1:21">
      <c r="A142">
        <v>44844</v>
      </c>
      <c r="B142" t="s">
        <v>375</v>
      </c>
      <c r="C142" t="s">
        <v>376</v>
      </c>
      <c r="D142" t="s">
        <v>227</v>
      </c>
      <c r="E142" t="s">
        <v>171</v>
      </c>
      <c r="F142" t="s">
        <v>1115</v>
      </c>
      <c r="G142">
        <v>0.30972222222222223</v>
      </c>
      <c r="H142" t="s">
        <v>1113</v>
      </c>
      <c r="I142">
        <v>0.77361111111111114</v>
      </c>
      <c r="J142">
        <v>0</v>
      </c>
      <c r="K142">
        <v>0</v>
      </c>
      <c r="L142">
        <v>200</v>
      </c>
      <c r="M142">
        <v>0</v>
      </c>
      <c r="N142">
        <v>0</v>
      </c>
      <c r="O142">
        <v>0</v>
      </c>
      <c r="P142" t="s">
        <v>1112</v>
      </c>
      <c r="S142">
        <v>11.133333333333331</v>
      </c>
      <c r="T142">
        <v>125</v>
      </c>
      <c r="U142">
        <v>325</v>
      </c>
    </row>
    <row r="143" spans="1:21">
      <c r="A143">
        <v>44845</v>
      </c>
      <c r="B143" t="s">
        <v>375</v>
      </c>
      <c r="C143" t="s">
        <v>376</v>
      </c>
      <c r="D143" t="s">
        <v>227</v>
      </c>
      <c r="E143" t="s">
        <v>171</v>
      </c>
      <c r="F143" t="s">
        <v>1113</v>
      </c>
      <c r="G143">
        <v>0.30972222222222223</v>
      </c>
      <c r="H143" t="s">
        <v>1111</v>
      </c>
      <c r="I143">
        <v>0.80972222222222223</v>
      </c>
      <c r="J143">
        <v>0</v>
      </c>
      <c r="K143">
        <v>0</v>
      </c>
      <c r="L143">
        <v>200</v>
      </c>
      <c r="M143">
        <v>0</v>
      </c>
      <c r="N143">
        <v>0</v>
      </c>
      <c r="O143">
        <v>0</v>
      </c>
      <c r="P143" t="s">
        <v>1112</v>
      </c>
      <c r="S143">
        <v>12</v>
      </c>
      <c r="T143">
        <v>125</v>
      </c>
      <c r="U143">
        <v>325</v>
      </c>
    </row>
    <row r="144" spans="1:21">
      <c r="A144">
        <v>44846</v>
      </c>
      <c r="B144" t="s">
        <v>375</v>
      </c>
      <c r="C144" t="s">
        <v>376</v>
      </c>
      <c r="D144" t="s">
        <v>227</v>
      </c>
      <c r="E144" t="s">
        <v>171</v>
      </c>
      <c r="F144" t="s">
        <v>1113</v>
      </c>
      <c r="G144">
        <v>0.28125</v>
      </c>
      <c r="H144" t="s">
        <v>1111</v>
      </c>
      <c r="I144">
        <v>0.82847222222222228</v>
      </c>
      <c r="J144">
        <v>0</v>
      </c>
      <c r="K144">
        <v>0</v>
      </c>
      <c r="L144">
        <v>200</v>
      </c>
      <c r="M144">
        <v>0</v>
      </c>
      <c r="N144">
        <v>0</v>
      </c>
      <c r="O144">
        <v>0</v>
      </c>
      <c r="P144" t="s">
        <v>1112</v>
      </c>
      <c r="S144">
        <v>13.133333333333333</v>
      </c>
      <c r="T144">
        <v>125</v>
      </c>
      <c r="U144">
        <v>325</v>
      </c>
    </row>
    <row r="145" spans="1:21">
      <c r="A145">
        <v>44847</v>
      </c>
      <c r="B145" t="s">
        <v>375</v>
      </c>
      <c r="C145" t="s">
        <v>376</v>
      </c>
      <c r="D145" t="s">
        <v>227</v>
      </c>
      <c r="E145" t="s">
        <v>171</v>
      </c>
      <c r="F145" t="s">
        <v>178</v>
      </c>
      <c r="G145">
        <v>0.29930555555555555</v>
      </c>
      <c r="H145" t="s">
        <v>1116</v>
      </c>
      <c r="I145">
        <v>0.77222222222222225</v>
      </c>
      <c r="J145">
        <v>3480</v>
      </c>
      <c r="K145">
        <v>0</v>
      </c>
      <c r="L145">
        <v>200</v>
      </c>
      <c r="M145">
        <v>0</v>
      </c>
      <c r="N145">
        <v>0</v>
      </c>
      <c r="O145">
        <v>0</v>
      </c>
      <c r="P145" t="s">
        <v>1112</v>
      </c>
      <c r="S145">
        <v>11.349999999999998</v>
      </c>
      <c r="T145">
        <v>125</v>
      </c>
      <c r="U145">
        <v>3805</v>
      </c>
    </row>
    <row r="146" spans="1:21">
      <c r="A146">
        <v>44848</v>
      </c>
      <c r="B146" t="s">
        <v>375</v>
      </c>
      <c r="C146" t="s">
        <v>376</v>
      </c>
      <c r="D146" t="s">
        <v>227</v>
      </c>
      <c r="E146" t="s">
        <v>171</v>
      </c>
      <c r="F146" t="s">
        <v>1113</v>
      </c>
      <c r="G146">
        <v>0.30763888888888891</v>
      </c>
      <c r="H146" t="s">
        <v>1117</v>
      </c>
      <c r="I146">
        <v>0.75347222222222221</v>
      </c>
      <c r="J146">
        <v>0</v>
      </c>
      <c r="K146">
        <v>0</v>
      </c>
      <c r="L146">
        <v>200</v>
      </c>
      <c r="M146">
        <v>0</v>
      </c>
      <c r="N146">
        <v>0</v>
      </c>
      <c r="O146">
        <v>0</v>
      </c>
      <c r="P146" t="s">
        <v>1112</v>
      </c>
      <c r="S146">
        <v>10.700000000000001</v>
      </c>
      <c r="T146">
        <v>125</v>
      </c>
      <c r="U146">
        <v>325</v>
      </c>
    </row>
    <row r="147" spans="1:21">
      <c r="A147">
        <v>44849</v>
      </c>
      <c r="B147" t="s">
        <v>375</v>
      </c>
      <c r="C147" t="s">
        <v>376</v>
      </c>
      <c r="D147" t="s">
        <v>227</v>
      </c>
      <c r="E147" t="s">
        <v>171</v>
      </c>
      <c r="F147" t="s">
        <v>178</v>
      </c>
      <c r="G147">
        <v>0.30416666666666664</v>
      </c>
      <c r="H147" t="s">
        <v>1111</v>
      </c>
      <c r="I147">
        <v>0.80763888888888891</v>
      </c>
      <c r="J147">
        <v>0</v>
      </c>
      <c r="K147">
        <v>0</v>
      </c>
      <c r="L147">
        <v>200</v>
      </c>
      <c r="M147">
        <v>0</v>
      </c>
      <c r="N147">
        <v>0</v>
      </c>
      <c r="O147">
        <v>0</v>
      </c>
      <c r="P147" t="s">
        <v>1112</v>
      </c>
      <c r="S147">
        <v>12.083333333333336</v>
      </c>
      <c r="T147">
        <v>125</v>
      </c>
      <c r="U147">
        <v>325</v>
      </c>
    </row>
    <row r="148" spans="1:21">
      <c r="A148">
        <v>44845</v>
      </c>
      <c r="B148" t="s">
        <v>390</v>
      </c>
      <c r="C148" t="s">
        <v>391</v>
      </c>
      <c r="D148" t="s">
        <v>163</v>
      </c>
      <c r="E148" t="s">
        <v>167</v>
      </c>
      <c r="F148" t="s">
        <v>1118</v>
      </c>
      <c r="G148">
        <v>0.33263888888888887</v>
      </c>
      <c r="H148" t="s">
        <v>1119</v>
      </c>
      <c r="I148">
        <v>0.78680555555555554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 t="s">
        <v>1120</v>
      </c>
      <c r="S148">
        <v>10.9</v>
      </c>
      <c r="T148">
        <v>200</v>
      </c>
      <c r="U148">
        <v>200</v>
      </c>
    </row>
    <row r="149" spans="1:21">
      <c r="A149">
        <v>44846</v>
      </c>
      <c r="B149" t="s">
        <v>390</v>
      </c>
      <c r="C149" t="s">
        <v>391</v>
      </c>
      <c r="D149" t="s">
        <v>163</v>
      </c>
      <c r="E149" t="s">
        <v>167</v>
      </c>
      <c r="F149" t="s">
        <v>1118</v>
      </c>
      <c r="G149">
        <v>0.30763888888888891</v>
      </c>
      <c r="H149" t="s">
        <v>1119</v>
      </c>
      <c r="I149">
        <v>0.7895833333333333</v>
      </c>
      <c r="J149">
        <v>440</v>
      </c>
      <c r="K149">
        <v>0</v>
      </c>
      <c r="L149">
        <v>0</v>
      </c>
      <c r="M149">
        <v>0</v>
      </c>
      <c r="N149">
        <v>225</v>
      </c>
      <c r="O149">
        <v>0</v>
      </c>
      <c r="P149" t="s">
        <v>1120</v>
      </c>
      <c r="S149">
        <v>11.566666666666666</v>
      </c>
      <c r="T149">
        <v>200</v>
      </c>
      <c r="U149">
        <v>865</v>
      </c>
    </row>
    <row r="150" spans="1:21">
      <c r="A150">
        <v>44847</v>
      </c>
      <c r="B150" t="s">
        <v>390</v>
      </c>
      <c r="C150" t="s">
        <v>391</v>
      </c>
      <c r="D150" t="s">
        <v>163</v>
      </c>
      <c r="E150" t="s">
        <v>167</v>
      </c>
      <c r="F150" t="s">
        <v>1118</v>
      </c>
      <c r="G150">
        <v>0.32291666666666669</v>
      </c>
      <c r="H150" t="s">
        <v>1119</v>
      </c>
      <c r="I150">
        <v>0.78680555555555554</v>
      </c>
      <c r="J150">
        <v>0</v>
      </c>
      <c r="K150">
        <v>0</v>
      </c>
      <c r="L150">
        <v>0</v>
      </c>
      <c r="M150">
        <v>294</v>
      </c>
      <c r="N150">
        <v>0</v>
      </c>
      <c r="O150">
        <v>0</v>
      </c>
      <c r="P150" t="s">
        <v>1120</v>
      </c>
      <c r="S150">
        <v>11.133333333333333</v>
      </c>
      <c r="T150">
        <v>200</v>
      </c>
      <c r="U150">
        <v>200</v>
      </c>
    </row>
    <row r="151" spans="1:21">
      <c r="A151">
        <v>44848</v>
      </c>
      <c r="B151" t="s">
        <v>390</v>
      </c>
      <c r="C151" t="s">
        <v>391</v>
      </c>
      <c r="D151" t="s">
        <v>163</v>
      </c>
      <c r="E151" t="s">
        <v>167</v>
      </c>
      <c r="F151" t="s">
        <v>1121</v>
      </c>
      <c r="G151">
        <v>0.34861111111111109</v>
      </c>
      <c r="H151" t="s">
        <v>1119</v>
      </c>
      <c r="I151">
        <v>0.81527777777777777</v>
      </c>
      <c r="J151">
        <v>0</v>
      </c>
      <c r="K151">
        <v>0</v>
      </c>
      <c r="L151">
        <v>200</v>
      </c>
      <c r="M151">
        <v>0</v>
      </c>
      <c r="N151">
        <v>0</v>
      </c>
      <c r="O151">
        <v>0</v>
      </c>
      <c r="P151" t="s">
        <v>1120</v>
      </c>
      <c r="S151">
        <v>11.2</v>
      </c>
      <c r="T151">
        <v>200</v>
      </c>
      <c r="U151">
        <v>400</v>
      </c>
    </row>
    <row r="152" spans="1:21">
      <c r="A152">
        <v>44849</v>
      </c>
      <c r="B152" t="s">
        <v>390</v>
      </c>
      <c r="C152" t="s">
        <v>391</v>
      </c>
      <c r="D152" t="s">
        <v>163</v>
      </c>
      <c r="E152" t="s">
        <v>167</v>
      </c>
      <c r="F152" t="s">
        <v>1119</v>
      </c>
      <c r="G152">
        <v>0.4152777777777778</v>
      </c>
      <c r="H152" t="s">
        <v>1118</v>
      </c>
      <c r="I152">
        <v>0.82916666666666672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 t="s">
        <v>1120</v>
      </c>
      <c r="S152">
        <v>9.9333333333333336</v>
      </c>
      <c r="T152">
        <v>200</v>
      </c>
      <c r="U152">
        <v>200</v>
      </c>
    </row>
    <row r="153" spans="1:21">
      <c r="A153">
        <v>44835</v>
      </c>
      <c r="B153" t="s">
        <v>31</v>
      </c>
      <c r="C153" t="s">
        <v>32</v>
      </c>
      <c r="D153" t="s">
        <v>163</v>
      </c>
      <c r="E153" t="s">
        <v>166</v>
      </c>
      <c r="F153" t="s">
        <v>1122</v>
      </c>
      <c r="G153">
        <v>0.30972222222222223</v>
      </c>
      <c r="H153" t="s">
        <v>1123</v>
      </c>
      <c r="I153">
        <v>6.2500000000000003E-3</v>
      </c>
      <c r="J153">
        <v>1500</v>
      </c>
      <c r="K153">
        <v>0</v>
      </c>
      <c r="L153">
        <v>0</v>
      </c>
      <c r="M153">
        <v>250</v>
      </c>
      <c r="N153">
        <v>0</v>
      </c>
      <c r="O153">
        <v>0</v>
      </c>
      <c r="P153" t="s">
        <v>179</v>
      </c>
      <c r="S153">
        <v>16.716666666666665</v>
      </c>
      <c r="T153">
        <v>250</v>
      </c>
      <c r="U153">
        <v>1750</v>
      </c>
    </row>
    <row r="154" spans="1:21">
      <c r="A154">
        <v>44837</v>
      </c>
      <c r="B154" t="s">
        <v>31</v>
      </c>
      <c r="C154" t="s">
        <v>32</v>
      </c>
      <c r="D154" t="s">
        <v>163</v>
      </c>
      <c r="E154" t="s">
        <v>166</v>
      </c>
      <c r="F154" t="s">
        <v>1124</v>
      </c>
      <c r="G154">
        <v>0.27916666666666667</v>
      </c>
      <c r="H154" t="s">
        <v>1125</v>
      </c>
      <c r="I154">
        <v>0.70763888888888893</v>
      </c>
      <c r="J154">
        <v>2000</v>
      </c>
      <c r="K154">
        <v>0</v>
      </c>
      <c r="L154">
        <v>0</v>
      </c>
      <c r="M154">
        <v>0</v>
      </c>
      <c r="N154">
        <v>0</v>
      </c>
      <c r="O154">
        <v>0</v>
      </c>
      <c r="P154" t="s">
        <v>179</v>
      </c>
      <c r="S154">
        <v>10.283333333333331</v>
      </c>
      <c r="T154">
        <v>250</v>
      </c>
      <c r="U154">
        <v>2250</v>
      </c>
    </row>
    <row r="155" spans="1:21">
      <c r="A155">
        <v>44838</v>
      </c>
      <c r="B155" t="s">
        <v>31</v>
      </c>
      <c r="C155" t="s">
        <v>32</v>
      </c>
      <c r="D155" t="s">
        <v>163</v>
      </c>
      <c r="E155" t="s">
        <v>166</v>
      </c>
      <c r="F155" t="s">
        <v>1126</v>
      </c>
      <c r="G155">
        <v>0.40694444444444444</v>
      </c>
      <c r="H155" t="s">
        <v>1127</v>
      </c>
      <c r="I155">
        <v>0.96805555555555556</v>
      </c>
      <c r="J155">
        <v>500</v>
      </c>
      <c r="K155">
        <v>0</v>
      </c>
      <c r="L155">
        <v>0</v>
      </c>
      <c r="M155">
        <v>250</v>
      </c>
      <c r="N155">
        <v>0</v>
      </c>
      <c r="O155">
        <v>0</v>
      </c>
      <c r="P155" t="s">
        <v>179</v>
      </c>
      <c r="S155">
        <v>13.466666666666667</v>
      </c>
      <c r="T155">
        <v>250</v>
      </c>
      <c r="U155">
        <v>750</v>
      </c>
    </row>
    <row r="156" spans="1:21">
      <c r="A156">
        <v>44839</v>
      </c>
      <c r="B156" t="s">
        <v>31</v>
      </c>
      <c r="C156" t="s">
        <v>32</v>
      </c>
      <c r="D156" t="s">
        <v>163</v>
      </c>
      <c r="E156" t="s">
        <v>166</v>
      </c>
      <c r="F156" t="s">
        <v>1128</v>
      </c>
      <c r="G156">
        <v>0.2902777777777778</v>
      </c>
      <c r="H156" t="s">
        <v>1129</v>
      </c>
      <c r="I156">
        <v>0.40694444444444444</v>
      </c>
      <c r="J156">
        <v>400</v>
      </c>
      <c r="K156">
        <v>0</v>
      </c>
      <c r="L156">
        <v>0</v>
      </c>
      <c r="M156">
        <v>0</v>
      </c>
      <c r="N156">
        <v>0</v>
      </c>
      <c r="O156">
        <v>0</v>
      </c>
      <c r="P156" t="s">
        <v>179</v>
      </c>
      <c r="S156">
        <v>2.8000000000000007</v>
      </c>
      <c r="T156">
        <v>0</v>
      </c>
      <c r="U156">
        <v>400</v>
      </c>
    </row>
    <row r="157" spans="1:21">
      <c r="A157">
        <v>44840</v>
      </c>
      <c r="B157" t="s">
        <v>31</v>
      </c>
      <c r="C157" t="s">
        <v>32</v>
      </c>
      <c r="D157" t="s">
        <v>163</v>
      </c>
      <c r="E157" t="s">
        <v>166</v>
      </c>
      <c r="F157" t="s">
        <v>1130</v>
      </c>
      <c r="G157">
        <v>0.49236111111111114</v>
      </c>
      <c r="H157" t="s">
        <v>1128</v>
      </c>
      <c r="I157">
        <v>0.95833333333333337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 t="s">
        <v>179</v>
      </c>
      <c r="S157">
        <v>11.183333333333332</v>
      </c>
      <c r="T157">
        <v>250</v>
      </c>
      <c r="U157">
        <v>250</v>
      </c>
    </row>
    <row r="158" spans="1:21">
      <c r="A158">
        <v>44841</v>
      </c>
      <c r="B158" t="s">
        <v>31</v>
      </c>
      <c r="C158" t="s">
        <v>32</v>
      </c>
      <c r="D158" t="s">
        <v>163</v>
      </c>
      <c r="E158" t="s">
        <v>166</v>
      </c>
      <c r="F158" t="s">
        <v>1131</v>
      </c>
      <c r="G158">
        <v>0.44583333333333336</v>
      </c>
      <c r="H158" t="s">
        <v>1132</v>
      </c>
      <c r="I158">
        <v>0.96111111111111114</v>
      </c>
      <c r="J158">
        <v>105</v>
      </c>
      <c r="K158">
        <v>0</v>
      </c>
      <c r="L158">
        <v>0</v>
      </c>
      <c r="M158">
        <v>0</v>
      </c>
      <c r="N158">
        <v>245</v>
      </c>
      <c r="O158">
        <v>0</v>
      </c>
      <c r="P158" t="s">
        <v>179</v>
      </c>
      <c r="S158">
        <v>12.366666666666665</v>
      </c>
      <c r="T158">
        <v>250</v>
      </c>
      <c r="U158">
        <v>600</v>
      </c>
    </row>
    <row r="159" spans="1:21">
      <c r="A159">
        <v>44842</v>
      </c>
      <c r="B159" t="s">
        <v>31</v>
      </c>
      <c r="C159" t="s">
        <v>32</v>
      </c>
      <c r="D159" t="s">
        <v>163</v>
      </c>
      <c r="E159" t="s">
        <v>166</v>
      </c>
      <c r="F159" t="s">
        <v>1133</v>
      </c>
      <c r="G159">
        <v>0.32500000000000001</v>
      </c>
      <c r="H159" t="s">
        <v>1128</v>
      </c>
      <c r="I159">
        <v>0.10625</v>
      </c>
      <c r="J159">
        <v>255</v>
      </c>
      <c r="K159">
        <v>849</v>
      </c>
      <c r="L159">
        <v>0</v>
      </c>
      <c r="M159">
        <v>0</v>
      </c>
      <c r="N159">
        <v>125</v>
      </c>
      <c r="O159">
        <v>0</v>
      </c>
      <c r="P159" t="s">
        <v>179</v>
      </c>
      <c r="S159">
        <v>18.75</v>
      </c>
      <c r="T159">
        <v>0</v>
      </c>
      <c r="U159">
        <v>1229</v>
      </c>
    </row>
    <row r="160" spans="1:21">
      <c r="A160">
        <v>44844</v>
      </c>
      <c r="B160" t="s">
        <v>31</v>
      </c>
      <c r="C160" t="s">
        <v>32</v>
      </c>
      <c r="D160" t="s">
        <v>163</v>
      </c>
      <c r="E160" t="s">
        <v>166</v>
      </c>
      <c r="F160" t="s">
        <v>1128</v>
      </c>
      <c r="G160">
        <v>0.30833333333333335</v>
      </c>
      <c r="H160" t="s">
        <v>1128</v>
      </c>
      <c r="I160">
        <v>0.96805555555555556</v>
      </c>
      <c r="J160">
        <v>2000</v>
      </c>
      <c r="K160">
        <v>0</v>
      </c>
      <c r="L160">
        <v>0</v>
      </c>
      <c r="M160">
        <v>250</v>
      </c>
      <c r="N160">
        <v>0</v>
      </c>
      <c r="O160">
        <v>0</v>
      </c>
      <c r="P160" t="s">
        <v>179</v>
      </c>
      <c r="S160">
        <v>15.833333333333332</v>
      </c>
      <c r="T160">
        <v>250</v>
      </c>
      <c r="U160">
        <v>2250</v>
      </c>
    </row>
    <row r="161" spans="1:21">
      <c r="A161">
        <v>44845</v>
      </c>
      <c r="B161" t="s">
        <v>31</v>
      </c>
      <c r="C161" t="s">
        <v>32</v>
      </c>
      <c r="D161" t="s">
        <v>163</v>
      </c>
      <c r="E161" t="s">
        <v>166</v>
      </c>
      <c r="F161" t="s">
        <v>1122</v>
      </c>
      <c r="G161">
        <v>0.30555555555555558</v>
      </c>
      <c r="H161" t="s">
        <v>1127</v>
      </c>
      <c r="I161">
        <v>0.98750000000000004</v>
      </c>
      <c r="J161">
        <v>2500</v>
      </c>
      <c r="K161">
        <v>0</v>
      </c>
      <c r="L161">
        <v>0</v>
      </c>
      <c r="M161">
        <v>250</v>
      </c>
      <c r="N161">
        <v>0</v>
      </c>
      <c r="O161">
        <v>0</v>
      </c>
      <c r="P161" t="s">
        <v>179</v>
      </c>
      <c r="S161">
        <v>16.366666666666667</v>
      </c>
      <c r="T161">
        <v>250</v>
      </c>
      <c r="U161">
        <v>2750</v>
      </c>
    </row>
    <row r="162" spans="1:21">
      <c r="A162">
        <v>44846</v>
      </c>
      <c r="B162" t="s">
        <v>31</v>
      </c>
      <c r="C162" t="s">
        <v>32</v>
      </c>
      <c r="D162" t="s">
        <v>163</v>
      </c>
      <c r="E162" t="s">
        <v>166</v>
      </c>
      <c r="F162" t="s">
        <v>1134</v>
      </c>
      <c r="G162">
        <v>0.36249999999999999</v>
      </c>
      <c r="H162" t="s">
        <v>1128</v>
      </c>
      <c r="I162">
        <v>0.91597222222222219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 t="s">
        <v>179</v>
      </c>
      <c r="S162">
        <v>13.283333333333331</v>
      </c>
      <c r="T162">
        <v>250</v>
      </c>
      <c r="U162">
        <v>250</v>
      </c>
    </row>
    <row r="163" spans="1:21">
      <c r="A163">
        <v>44848</v>
      </c>
      <c r="B163" t="s">
        <v>31</v>
      </c>
      <c r="C163" t="s">
        <v>32</v>
      </c>
      <c r="D163" t="s">
        <v>163</v>
      </c>
      <c r="E163" t="s">
        <v>166</v>
      </c>
      <c r="F163" t="s">
        <v>1030</v>
      </c>
      <c r="G163">
        <v>7.2222222222222215E-2</v>
      </c>
      <c r="H163" t="s">
        <v>1029</v>
      </c>
      <c r="I163">
        <v>0.31527777777777777</v>
      </c>
      <c r="J163">
        <v>0</v>
      </c>
      <c r="K163">
        <v>0</v>
      </c>
      <c r="L163">
        <v>0</v>
      </c>
      <c r="M163">
        <v>0</v>
      </c>
      <c r="N163">
        <v>125</v>
      </c>
      <c r="O163">
        <v>0</v>
      </c>
      <c r="P163" t="s">
        <v>179</v>
      </c>
      <c r="S163">
        <v>5.833333333333333</v>
      </c>
      <c r="T163">
        <v>125</v>
      </c>
      <c r="U163">
        <v>250</v>
      </c>
    </row>
    <row r="164" spans="1:21">
      <c r="A164">
        <v>44849</v>
      </c>
      <c r="B164" t="s">
        <v>31</v>
      </c>
      <c r="C164" t="s">
        <v>32</v>
      </c>
      <c r="D164" t="s">
        <v>163</v>
      </c>
      <c r="E164" t="s">
        <v>166</v>
      </c>
      <c r="F164" t="s">
        <v>1029</v>
      </c>
      <c r="G164">
        <v>0.31527777777777777</v>
      </c>
      <c r="H164" t="s">
        <v>1030</v>
      </c>
      <c r="I164">
        <v>0.98611111111111116</v>
      </c>
      <c r="J164">
        <v>0</v>
      </c>
      <c r="K164">
        <v>0</v>
      </c>
      <c r="L164">
        <v>0</v>
      </c>
      <c r="M164">
        <v>0</v>
      </c>
      <c r="N164">
        <v>150</v>
      </c>
      <c r="O164">
        <v>0</v>
      </c>
      <c r="P164" t="s">
        <v>179</v>
      </c>
      <c r="S164">
        <v>16.099999999999998</v>
      </c>
      <c r="T164">
        <v>250</v>
      </c>
      <c r="U164">
        <v>400</v>
      </c>
    </row>
    <row r="165" spans="1:21">
      <c r="A165">
        <v>44835</v>
      </c>
      <c r="B165" t="s">
        <v>25</v>
      </c>
      <c r="C165" t="s">
        <v>26</v>
      </c>
      <c r="D165" t="s">
        <v>163</v>
      </c>
      <c r="E165" t="s">
        <v>180</v>
      </c>
      <c r="F165" t="s">
        <v>1135</v>
      </c>
      <c r="G165">
        <v>0.32291666666666669</v>
      </c>
      <c r="H165" t="s">
        <v>182</v>
      </c>
      <c r="I165">
        <v>0.91874999999999996</v>
      </c>
      <c r="J165">
        <v>0</v>
      </c>
      <c r="K165">
        <v>0</v>
      </c>
      <c r="L165">
        <v>0</v>
      </c>
      <c r="M165">
        <v>300</v>
      </c>
      <c r="N165">
        <v>0</v>
      </c>
      <c r="O165">
        <v>0</v>
      </c>
      <c r="P165" t="s">
        <v>181</v>
      </c>
      <c r="S165">
        <v>14.3</v>
      </c>
      <c r="T165">
        <v>300</v>
      </c>
      <c r="U165">
        <v>300</v>
      </c>
    </row>
    <row r="166" spans="1:21">
      <c r="A166">
        <v>44837</v>
      </c>
      <c r="B166" t="s">
        <v>25</v>
      </c>
      <c r="C166" t="s">
        <v>26</v>
      </c>
      <c r="D166" t="s">
        <v>163</v>
      </c>
      <c r="E166" t="s">
        <v>180</v>
      </c>
      <c r="F166" t="s">
        <v>1136</v>
      </c>
      <c r="G166">
        <v>0.30694444444444446</v>
      </c>
      <c r="H166" t="s">
        <v>1137</v>
      </c>
      <c r="I166">
        <v>0.92777777777777781</v>
      </c>
      <c r="J166">
        <v>1000</v>
      </c>
      <c r="K166">
        <v>0</v>
      </c>
      <c r="L166">
        <v>0</v>
      </c>
      <c r="M166">
        <v>300</v>
      </c>
      <c r="N166">
        <v>0</v>
      </c>
      <c r="O166">
        <v>0</v>
      </c>
      <c r="P166" t="s">
        <v>181</v>
      </c>
      <c r="S166">
        <v>14.9</v>
      </c>
      <c r="T166">
        <v>300</v>
      </c>
      <c r="U166">
        <v>1300</v>
      </c>
    </row>
    <row r="167" spans="1:21">
      <c r="A167">
        <v>44838</v>
      </c>
      <c r="B167" t="s">
        <v>25</v>
      </c>
      <c r="C167" t="s">
        <v>26</v>
      </c>
      <c r="D167" t="s">
        <v>163</v>
      </c>
      <c r="E167" t="s">
        <v>180</v>
      </c>
      <c r="F167" t="s">
        <v>1138</v>
      </c>
      <c r="G167">
        <v>0.36041666666666666</v>
      </c>
      <c r="H167" t="s">
        <v>1138</v>
      </c>
      <c r="I167">
        <v>0.8569444444444444</v>
      </c>
      <c r="J167">
        <v>0</v>
      </c>
      <c r="K167">
        <v>0</v>
      </c>
      <c r="L167">
        <v>0</v>
      </c>
      <c r="M167">
        <v>300</v>
      </c>
      <c r="N167">
        <v>60</v>
      </c>
      <c r="O167">
        <v>0</v>
      </c>
      <c r="P167" t="s">
        <v>181</v>
      </c>
      <c r="S167">
        <v>11.916666666666666</v>
      </c>
      <c r="T167">
        <v>300</v>
      </c>
      <c r="U167">
        <v>360</v>
      </c>
    </row>
    <row r="168" spans="1:21">
      <c r="A168">
        <v>44840</v>
      </c>
      <c r="B168" t="s">
        <v>25</v>
      </c>
      <c r="C168" t="s">
        <v>26</v>
      </c>
      <c r="D168" t="s">
        <v>163</v>
      </c>
      <c r="E168" t="s">
        <v>180</v>
      </c>
      <c r="F168" t="s">
        <v>1136</v>
      </c>
      <c r="G168">
        <v>0.3125</v>
      </c>
      <c r="H168" t="s">
        <v>1139</v>
      </c>
      <c r="I168">
        <v>0.90138888888888891</v>
      </c>
      <c r="J168">
        <v>3500</v>
      </c>
      <c r="K168">
        <v>0</v>
      </c>
      <c r="L168">
        <v>0</v>
      </c>
      <c r="M168">
        <v>300</v>
      </c>
      <c r="N168">
        <v>0</v>
      </c>
      <c r="O168">
        <v>0</v>
      </c>
      <c r="P168" t="s">
        <v>181</v>
      </c>
      <c r="S168">
        <v>14.133333333333333</v>
      </c>
      <c r="T168">
        <v>300</v>
      </c>
      <c r="U168">
        <v>3800</v>
      </c>
    </row>
    <row r="169" spans="1:21">
      <c r="A169">
        <v>44841</v>
      </c>
      <c r="B169" t="s">
        <v>25</v>
      </c>
      <c r="C169" t="s">
        <v>26</v>
      </c>
      <c r="D169" t="s">
        <v>163</v>
      </c>
      <c r="E169" t="s">
        <v>180</v>
      </c>
      <c r="F169" t="s">
        <v>1140</v>
      </c>
      <c r="G169">
        <v>0.51180555555555551</v>
      </c>
      <c r="H169" t="s">
        <v>1140</v>
      </c>
      <c r="I169">
        <v>0.96458333333333335</v>
      </c>
      <c r="J169">
        <v>1000</v>
      </c>
      <c r="K169">
        <v>0</v>
      </c>
      <c r="L169">
        <v>0</v>
      </c>
      <c r="M169">
        <v>0</v>
      </c>
      <c r="N169">
        <v>62</v>
      </c>
      <c r="O169">
        <v>0</v>
      </c>
      <c r="P169" t="s">
        <v>181</v>
      </c>
      <c r="S169">
        <v>10.866666666666667</v>
      </c>
      <c r="T169">
        <v>300</v>
      </c>
      <c r="U169">
        <v>1362</v>
      </c>
    </row>
    <row r="170" spans="1:21">
      <c r="A170">
        <v>44842</v>
      </c>
      <c r="B170" t="s">
        <v>25</v>
      </c>
      <c r="C170" t="s">
        <v>26</v>
      </c>
      <c r="D170" t="s">
        <v>163</v>
      </c>
      <c r="E170" t="s">
        <v>180</v>
      </c>
      <c r="F170" t="s">
        <v>1141</v>
      </c>
      <c r="G170">
        <v>0.30069444444444443</v>
      </c>
      <c r="H170" t="s">
        <v>1141</v>
      </c>
      <c r="I170">
        <v>0.90486111111111112</v>
      </c>
      <c r="J170">
        <v>0</v>
      </c>
      <c r="K170">
        <v>0</v>
      </c>
      <c r="L170">
        <v>0</v>
      </c>
      <c r="M170">
        <v>0</v>
      </c>
      <c r="N170">
        <v>220</v>
      </c>
      <c r="O170">
        <v>0</v>
      </c>
      <c r="P170" t="s">
        <v>181</v>
      </c>
      <c r="S170">
        <v>14.500000000000002</v>
      </c>
      <c r="T170">
        <v>300</v>
      </c>
      <c r="U170">
        <v>520</v>
      </c>
    </row>
    <row r="171" spans="1:21">
      <c r="A171">
        <v>44843</v>
      </c>
      <c r="B171" t="s">
        <v>25</v>
      </c>
      <c r="C171" t="s">
        <v>26</v>
      </c>
      <c r="D171" t="s">
        <v>163</v>
      </c>
      <c r="E171" t="s">
        <v>180</v>
      </c>
      <c r="F171" t="s">
        <v>1136</v>
      </c>
      <c r="G171">
        <v>0.3576388888888889</v>
      </c>
      <c r="H171" t="s">
        <v>1141</v>
      </c>
      <c r="I171">
        <v>0.93402777777777779</v>
      </c>
      <c r="J171">
        <v>1500</v>
      </c>
      <c r="K171">
        <v>0</v>
      </c>
      <c r="L171">
        <v>0</v>
      </c>
      <c r="M171">
        <v>300</v>
      </c>
      <c r="N171">
        <v>0</v>
      </c>
      <c r="O171">
        <v>0</v>
      </c>
      <c r="P171" t="s">
        <v>181</v>
      </c>
      <c r="S171">
        <v>13.833333333333332</v>
      </c>
      <c r="T171">
        <v>300</v>
      </c>
      <c r="U171">
        <v>1800</v>
      </c>
    </row>
    <row r="172" spans="1:21">
      <c r="A172">
        <v>44844</v>
      </c>
      <c r="B172" t="s">
        <v>25</v>
      </c>
      <c r="C172" t="s">
        <v>26</v>
      </c>
      <c r="D172" t="s">
        <v>163</v>
      </c>
      <c r="E172" t="s">
        <v>180</v>
      </c>
      <c r="F172" t="s">
        <v>1138</v>
      </c>
      <c r="G172">
        <v>0.29791666666666666</v>
      </c>
      <c r="H172" t="s">
        <v>1139</v>
      </c>
      <c r="I172">
        <v>0.94166666666666665</v>
      </c>
      <c r="J172">
        <v>1000</v>
      </c>
      <c r="K172">
        <v>0</v>
      </c>
      <c r="L172">
        <v>0</v>
      </c>
      <c r="M172">
        <v>300</v>
      </c>
      <c r="N172">
        <v>0</v>
      </c>
      <c r="O172">
        <v>0</v>
      </c>
      <c r="P172" t="s">
        <v>181</v>
      </c>
      <c r="S172">
        <v>15.450000000000001</v>
      </c>
      <c r="T172">
        <v>300</v>
      </c>
      <c r="U172">
        <v>1300</v>
      </c>
    </row>
    <row r="173" spans="1:21">
      <c r="A173">
        <v>44845</v>
      </c>
      <c r="B173" t="s">
        <v>25</v>
      </c>
      <c r="C173" t="s">
        <v>26</v>
      </c>
      <c r="D173" t="s">
        <v>163</v>
      </c>
      <c r="E173" t="s">
        <v>180</v>
      </c>
      <c r="F173" t="s">
        <v>1136</v>
      </c>
      <c r="G173">
        <v>0.32083333333333336</v>
      </c>
      <c r="H173" t="s">
        <v>1141</v>
      </c>
      <c r="I173">
        <v>0.88958333333333328</v>
      </c>
      <c r="J173">
        <v>1000</v>
      </c>
      <c r="K173">
        <v>0</v>
      </c>
      <c r="L173">
        <v>0</v>
      </c>
      <c r="M173">
        <v>300</v>
      </c>
      <c r="N173">
        <v>0</v>
      </c>
      <c r="O173">
        <v>650</v>
      </c>
      <c r="P173" t="s">
        <v>181</v>
      </c>
      <c r="S173">
        <v>13.649999999999999</v>
      </c>
      <c r="T173">
        <v>300</v>
      </c>
      <c r="U173">
        <v>1950</v>
      </c>
    </row>
    <row r="174" spans="1:21">
      <c r="A174">
        <v>44846</v>
      </c>
      <c r="B174" t="s">
        <v>25</v>
      </c>
      <c r="C174" t="s">
        <v>26</v>
      </c>
      <c r="D174" t="s">
        <v>163</v>
      </c>
      <c r="E174" t="s">
        <v>180</v>
      </c>
      <c r="F174" t="s">
        <v>1142</v>
      </c>
      <c r="G174">
        <v>0.31180555555555556</v>
      </c>
      <c r="H174" t="s">
        <v>1139</v>
      </c>
      <c r="I174">
        <v>0.89097222222222228</v>
      </c>
      <c r="J174">
        <v>1000</v>
      </c>
      <c r="K174">
        <v>0</v>
      </c>
      <c r="L174">
        <v>0</v>
      </c>
      <c r="M174">
        <v>300</v>
      </c>
      <c r="N174">
        <v>0</v>
      </c>
      <c r="O174">
        <v>0</v>
      </c>
      <c r="P174" t="s">
        <v>181</v>
      </c>
      <c r="S174">
        <v>13.899999999999999</v>
      </c>
      <c r="T174">
        <v>300</v>
      </c>
      <c r="U174">
        <v>1300</v>
      </c>
    </row>
    <row r="175" spans="1:21">
      <c r="A175">
        <v>44847</v>
      </c>
      <c r="B175" t="s">
        <v>25</v>
      </c>
      <c r="C175" t="s">
        <v>26</v>
      </c>
      <c r="D175" t="s">
        <v>163</v>
      </c>
      <c r="E175" t="s">
        <v>180</v>
      </c>
      <c r="F175" t="s">
        <v>1142</v>
      </c>
      <c r="G175">
        <v>0.375</v>
      </c>
      <c r="H175" t="s">
        <v>1143</v>
      </c>
      <c r="I175">
        <v>0.91527777777777775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 t="s">
        <v>181</v>
      </c>
      <c r="S175">
        <v>12.966666666666665</v>
      </c>
      <c r="T175">
        <v>300</v>
      </c>
      <c r="U175">
        <v>300</v>
      </c>
    </row>
    <row r="176" spans="1:21">
      <c r="A176">
        <v>44848</v>
      </c>
      <c r="B176" t="s">
        <v>25</v>
      </c>
      <c r="C176" t="s">
        <v>26</v>
      </c>
      <c r="D176" t="s">
        <v>163</v>
      </c>
      <c r="E176" t="s">
        <v>180</v>
      </c>
      <c r="F176" t="s">
        <v>1139</v>
      </c>
      <c r="G176">
        <v>0.30833333333333335</v>
      </c>
      <c r="H176" t="s">
        <v>1144</v>
      </c>
      <c r="I176">
        <v>0.91736111111111107</v>
      </c>
      <c r="J176">
        <v>0</v>
      </c>
      <c r="K176">
        <v>0</v>
      </c>
      <c r="L176">
        <v>0</v>
      </c>
      <c r="M176">
        <v>300</v>
      </c>
      <c r="N176">
        <v>0</v>
      </c>
      <c r="O176">
        <v>0</v>
      </c>
      <c r="P176" t="s">
        <v>181</v>
      </c>
      <c r="S176">
        <v>14.616666666666665</v>
      </c>
      <c r="T176">
        <v>300</v>
      </c>
      <c r="U176">
        <v>300</v>
      </c>
    </row>
    <row r="177" spans="1:21">
      <c r="A177">
        <v>44849</v>
      </c>
      <c r="B177" t="s">
        <v>25</v>
      </c>
      <c r="C177" t="s">
        <v>26</v>
      </c>
      <c r="D177" t="s">
        <v>163</v>
      </c>
      <c r="E177" t="s">
        <v>180</v>
      </c>
      <c r="F177" t="s">
        <v>1142</v>
      </c>
      <c r="G177">
        <v>0.30138888888888887</v>
      </c>
      <c r="H177" t="s">
        <v>1135</v>
      </c>
      <c r="I177">
        <v>0.97499999999999998</v>
      </c>
      <c r="J177">
        <v>0</v>
      </c>
      <c r="K177">
        <v>0</v>
      </c>
      <c r="L177">
        <v>0</v>
      </c>
      <c r="M177">
        <v>300</v>
      </c>
      <c r="N177">
        <v>0</v>
      </c>
      <c r="O177">
        <v>0</v>
      </c>
      <c r="P177" t="s">
        <v>181</v>
      </c>
      <c r="S177">
        <v>16.166666666666668</v>
      </c>
      <c r="T177">
        <v>300</v>
      </c>
      <c r="U177">
        <v>300</v>
      </c>
    </row>
    <row r="178" spans="1:21">
      <c r="A178">
        <v>44835</v>
      </c>
      <c r="B178" t="s">
        <v>57</v>
      </c>
      <c r="C178" t="s">
        <v>58</v>
      </c>
      <c r="D178" t="s">
        <v>163</v>
      </c>
      <c r="E178" t="s">
        <v>166</v>
      </c>
      <c r="F178" t="s">
        <v>178</v>
      </c>
      <c r="G178">
        <v>0.38263888888888886</v>
      </c>
      <c r="H178" t="s">
        <v>1145</v>
      </c>
      <c r="I178">
        <v>0.51249999999999996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 t="s">
        <v>184</v>
      </c>
      <c r="S178">
        <v>3.1166666666666663</v>
      </c>
      <c r="T178">
        <v>0</v>
      </c>
      <c r="U178">
        <v>0</v>
      </c>
    </row>
    <row r="179" spans="1:21">
      <c r="A179">
        <v>44837</v>
      </c>
      <c r="B179" t="s">
        <v>57</v>
      </c>
      <c r="C179" t="s">
        <v>58</v>
      </c>
      <c r="D179" t="s">
        <v>163</v>
      </c>
      <c r="E179" t="s">
        <v>166</v>
      </c>
      <c r="F179" t="s">
        <v>178</v>
      </c>
      <c r="G179">
        <v>0.37638888888888888</v>
      </c>
      <c r="H179" t="s">
        <v>183</v>
      </c>
      <c r="I179">
        <v>0.86736111111111114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 t="s">
        <v>184</v>
      </c>
      <c r="S179">
        <v>11.783333333333331</v>
      </c>
      <c r="T179">
        <v>250</v>
      </c>
      <c r="U179">
        <v>250</v>
      </c>
    </row>
    <row r="180" spans="1:21">
      <c r="A180">
        <v>44838</v>
      </c>
      <c r="B180" t="s">
        <v>57</v>
      </c>
      <c r="C180" t="s">
        <v>58</v>
      </c>
      <c r="D180" t="s">
        <v>163</v>
      </c>
      <c r="E180" t="s">
        <v>166</v>
      </c>
      <c r="F180" t="s">
        <v>183</v>
      </c>
      <c r="G180">
        <v>0.38333333333333336</v>
      </c>
      <c r="H180" t="s">
        <v>1146</v>
      </c>
      <c r="I180">
        <v>0.90208333333333335</v>
      </c>
      <c r="J180">
        <v>779</v>
      </c>
      <c r="K180">
        <v>0</v>
      </c>
      <c r="L180">
        <v>0</v>
      </c>
      <c r="M180">
        <v>250</v>
      </c>
      <c r="N180">
        <v>0</v>
      </c>
      <c r="O180">
        <v>0</v>
      </c>
      <c r="P180" t="s">
        <v>184</v>
      </c>
      <c r="S180">
        <v>12.450000000000001</v>
      </c>
      <c r="T180">
        <v>250</v>
      </c>
      <c r="U180">
        <v>1029</v>
      </c>
    </row>
    <row r="181" spans="1:21">
      <c r="A181">
        <v>44840</v>
      </c>
      <c r="B181" t="s">
        <v>57</v>
      </c>
      <c r="C181" t="s">
        <v>58</v>
      </c>
      <c r="D181" t="s">
        <v>163</v>
      </c>
      <c r="E181" t="s">
        <v>166</v>
      </c>
      <c r="F181" t="s">
        <v>178</v>
      </c>
      <c r="G181">
        <v>0.37152777777777779</v>
      </c>
      <c r="H181" t="s">
        <v>1147</v>
      </c>
      <c r="I181">
        <v>0.84722222222222221</v>
      </c>
      <c r="J181">
        <v>0</v>
      </c>
      <c r="K181">
        <v>0</v>
      </c>
      <c r="L181">
        <v>0</v>
      </c>
      <c r="M181">
        <v>250</v>
      </c>
      <c r="N181">
        <v>0</v>
      </c>
      <c r="O181">
        <v>0</v>
      </c>
      <c r="P181" t="s">
        <v>184</v>
      </c>
      <c r="S181">
        <v>11.416666666666666</v>
      </c>
      <c r="T181">
        <v>250</v>
      </c>
      <c r="U181">
        <v>250</v>
      </c>
    </row>
    <row r="182" spans="1:21">
      <c r="A182">
        <v>44841</v>
      </c>
      <c r="B182" t="s">
        <v>57</v>
      </c>
      <c r="C182" t="s">
        <v>58</v>
      </c>
      <c r="D182" t="s">
        <v>163</v>
      </c>
      <c r="E182" t="s">
        <v>166</v>
      </c>
      <c r="F182" t="s">
        <v>1148</v>
      </c>
      <c r="G182">
        <v>0.37777777777777777</v>
      </c>
      <c r="H182" t="s">
        <v>1147</v>
      </c>
      <c r="I182">
        <v>0.92152777777777772</v>
      </c>
      <c r="J182">
        <v>0</v>
      </c>
      <c r="K182">
        <v>0</v>
      </c>
      <c r="L182">
        <v>0</v>
      </c>
      <c r="M182">
        <v>250</v>
      </c>
      <c r="N182">
        <v>0</v>
      </c>
      <c r="O182">
        <v>0</v>
      </c>
      <c r="P182" t="s">
        <v>184</v>
      </c>
      <c r="S182">
        <v>13.049999999999999</v>
      </c>
      <c r="T182">
        <v>250</v>
      </c>
      <c r="U182">
        <v>250</v>
      </c>
    </row>
    <row r="183" spans="1:21">
      <c r="A183">
        <v>44842</v>
      </c>
      <c r="B183" t="s">
        <v>57</v>
      </c>
      <c r="C183" t="s">
        <v>58</v>
      </c>
      <c r="D183" t="s">
        <v>163</v>
      </c>
      <c r="E183" t="s">
        <v>166</v>
      </c>
      <c r="F183" t="s">
        <v>1148</v>
      </c>
      <c r="G183">
        <v>0.39374999999999999</v>
      </c>
      <c r="H183" t="s">
        <v>1146</v>
      </c>
      <c r="I183">
        <v>0.93472222222222223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 t="s">
        <v>184</v>
      </c>
      <c r="S183">
        <v>12.983333333333333</v>
      </c>
      <c r="T183">
        <v>250</v>
      </c>
      <c r="U183">
        <v>250</v>
      </c>
    </row>
    <row r="184" spans="1:21">
      <c r="A184">
        <v>44844</v>
      </c>
      <c r="B184" t="s">
        <v>57</v>
      </c>
      <c r="C184" t="s">
        <v>58</v>
      </c>
      <c r="D184" t="s">
        <v>163</v>
      </c>
      <c r="E184" t="s">
        <v>166</v>
      </c>
      <c r="F184" t="s">
        <v>183</v>
      </c>
      <c r="G184">
        <v>0.36319444444444443</v>
      </c>
      <c r="H184" t="s">
        <v>1149</v>
      </c>
      <c r="I184">
        <v>0.84791666666666665</v>
      </c>
      <c r="J184">
        <v>500</v>
      </c>
      <c r="K184">
        <v>0</v>
      </c>
      <c r="L184">
        <v>0</v>
      </c>
      <c r="M184">
        <v>250</v>
      </c>
      <c r="N184">
        <v>50</v>
      </c>
      <c r="O184">
        <v>0</v>
      </c>
      <c r="P184" t="s">
        <v>184</v>
      </c>
      <c r="S184">
        <v>11.633333333333333</v>
      </c>
      <c r="T184">
        <v>250</v>
      </c>
      <c r="U184">
        <v>800</v>
      </c>
    </row>
    <row r="185" spans="1:21">
      <c r="A185">
        <v>44845</v>
      </c>
      <c r="B185" t="s">
        <v>57</v>
      </c>
      <c r="C185" t="s">
        <v>58</v>
      </c>
      <c r="D185" t="s">
        <v>163</v>
      </c>
      <c r="E185" t="s">
        <v>166</v>
      </c>
      <c r="F185" t="s">
        <v>183</v>
      </c>
      <c r="G185">
        <v>0.38263888888888886</v>
      </c>
      <c r="H185" t="s">
        <v>183</v>
      </c>
      <c r="I185">
        <v>0.81527777777777777</v>
      </c>
      <c r="J185">
        <v>120</v>
      </c>
      <c r="K185">
        <v>0</v>
      </c>
      <c r="L185">
        <v>0</v>
      </c>
      <c r="M185">
        <v>0</v>
      </c>
      <c r="N185">
        <v>0</v>
      </c>
      <c r="O185">
        <v>0</v>
      </c>
      <c r="P185" t="s">
        <v>184</v>
      </c>
      <c r="S185">
        <v>10.383333333333333</v>
      </c>
      <c r="T185">
        <v>250</v>
      </c>
      <c r="U185">
        <v>370</v>
      </c>
    </row>
    <row r="186" spans="1:21">
      <c r="A186">
        <v>44846</v>
      </c>
      <c r="B186" t="s">
        <v>57</v>
      </c>
      <c r="C186" t="s">
        <v>58</v>
      </c>
      <c r="D186" t="s">
        <v>163</v>
      </c>
      <c r="E186" t="s">
        <v>166</v>
      </c>
      <c r="F186" t="s">
        <v>1150</v>
      </c>
      <c r="G186">
        <v>0.38472222222222224</v>
      </c>
      <c r="H186" t="s">
        <v>1147</v>
      </c>
      <c r="I186">
        <v>0.8520833333333333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 t="s">
        <v>184</v>
      </c>
      <c r="S186">
        <v>11.216666666666667</v>
      </c>
      <c r="T186">
        <v>250</v>
      </c>
      <c r="U186">
        <v>250</v>
      </c>
    </row>
    <row r="187" spans="1:21">
      <c r="A187">
        <v>44847</v>
      </c>
      <c r="B187" t="s">
        <v>57</v>
      </c>
      <c r="C187" t="s">
        <v>58</v>
      </c>
      <c r="D187" t="s">
        <v>163</v>
      </c>
      <c r="E187" t="s">
        <v>166</v>
      </c>
      <c r="F187" t="s">
        <v>178</v>
      </c>
      <c r="G187">
        <v>0.38611111111111113</v>
      </c>
      <c r="H187" t="s">
        <v>1151</v>
      </c>
      <c r="I187">
        <v>0.80833333333333335</v>
      </c>
      <c r="J187">
        <v>0</v>
      </c>
      <c r="K187">
        <v>0</v>
      </c>
      <c r="L187">
        <v>0</v>
      </c>
      <c r="M187">
        <v>250</v>
      </c>
      <c r="N187">
        <v>0</v>
      </c>
      <c r="O187">
        <v>0</v>
      </c>
      <c r="P187" t="s">
        <v>184</v>
      </c>
      <c r="S187">
        <v>10.133333333333335</v>
      </c>
      <c r="T187">
        <v>250</v>
      </c>
      <c r="U187">
        <v>250</v>
      </c>
    </row>
    <row r="188" spans="1:21">
      <c r="A188">
        <v>44848</v>
      </c>
      <c r="B188" t="s">
        <v>57</v>
      </c>
      <c r="C188" t="s">
        <v>58</v>
      </c>
      <c r="D188" t="s">
        <v>163</v>
      </c>
      <c r="E188" t="s">
        <v>166</v>
      </c>
      <c r="F188" t="s">
        <v>178</v>
      </c>
      <c r="G188">
        <v>0.3840277777777778</v>
      </c>
      <c r="H188" t="s">
        <v>1152</v>
      </c>
      <c r="I188">
        <v>0.83125000000000004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 t="s">
        <v>184</v>
      </c>
      <c r="S188">
        <v>10.733333333333333</v>
      </c>
      <c r="T188">
        <v>250</v>
      </c>
      <c r="U188">
        <v>250</v>
      </c>
    </row>
    <row r="189" spans="1:21">
      <c r="A189">
        <v>44849</v>
      </c>
      <c r="B189" t="s">
        <v>57</v>
      </c>
      <c r="C189" t="s">
        <v>58</v>
      </c>
      <c r="D189" t="s">
        <v>163</v>
      </c>
      <c r="E189" t="s">
        <v>166</v>
      </c>
      <c r="F189" t="s">
        <v>178</v>
      </c>
      <c r="G189">
        <v>0.37847222222222221</v>
      </c>
      <c r="H189" t="s">
        <v>1153</v>
      </c>
      <c r="I189">
        <v>0.87013888888888891</v>
      </c>
      <c r="J189">
        <v>0</v>
      </c>
      <c r="K189">
        <v>0</v>
      </c>
      <c r="L189">
        <v>0</v>
      </c>
      <c r="M189">
        <v>250</v>
      </c>
      <c r="N189">
        <v>0</v>
      </c>
      <c r="O189">
        <v>0</v>
      </c>
      <c r="P189" t="s">
        <v>184</v>
      </c>
      <c r="S189">
        <v>11.8</v>
      </c>
      <c r="T189">
        <v>250</v>
      </c>
      <c r="U189">
        <v>250</v>
      </c>
    </row>
    <row r="190" spans="1:21">
      <c r="A190">
        <v>44835</v>
      </c>
      <c r="B190" t="s">
        <v>96</v>
      </c>
      <c r="C190" t="s">
        <v>97</v>
      </c>
      <c r="D190" t="s">
        <v>163</v>
      </c>
      <c r="E190" t="s">
        <v>166</v>
      </c>
      <c r="F190" t="s">
        <v>1154</v>
      </c>
      <c r="G190">
        <v>0.32500000000000001</v>
      </c>
      <c r="H190" t="s">
        <v>1155</v>
      </c>
      <c r="I190">
        <v>0.95347222222222228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 t="s">
        <v>185</v>
      </c>
      <c r="S190">
        <v>15.08333333333333</v>
      </c>
      <c r="T190">
        <v>250</v>
      </c>
      <c r="U190">
        <v>250</v>
      </c>
    </row>
    <row r="191" spans="1:21">
      <c r="A191">
        <v>44837</v>
      </c>
      <c r="B191" t="s">
        <v>96</v>
      </c>
      <c r="C191" t="s">
        <v>97</v>
      </c>
      <c r="D191" t="s">
        <v>163</v>
      </c>
      <c r="E191" t="s">
        <v>166</v>
      </c>
      <c r="F191" t="s">
        <v>1156</v>
      </c>
      <c r="G191">
        <v>0.28263888888888888</v>
      </c>
      <c r="H191" t="s">
        <v>1154</v>
      </c>
      <c r="I191">
        <v>0.95902777777777781</v>
      </c>
      <c r="J191">
        <v>0</v>
      </c>
      <c r="K191">
        <v>0</v>
      </c>
      <c r="L191">
        <v>0</v>
      </c>
      <c r="M191">
        <v>200</v>
      </c>
      <c r="N191">
        <v>0</v>
      </c>
      <c r="O191">
        <v>0</v>
      </c>
      <c r="P191" t="s">
        <v>185</v>
      </c>
      <c r="S191">
        <v>16.233333333333331</v>
      </c>
      <c r="T191">
        <v>250</v>
      </c>
      <c r="U191">
        <v>250</v>
      </c>
    </row>
    <row r="192" spans="1:21">
      <c r="A192">
        <v>44838</v>
      </c>
      <c r="B192" t="s">
        <v>96</v>
      </c>
      <c r="C192" t="s">
        <v>97</v>
      </c>
      <c r="D192" t="s">
        <v>163</v>
      </c>
      <c r="E192" t="s">
        <v>166</v>
      </c>
      <c r="F192" t="s">
        <v>1157</v>
      </c>
      <c r="G192">
        <v>0.33888888888888891</v>
      </c>
      <c r="H192" t="s">
        <v>1158</v>
      </c>
      <c r="I192">
        <v>3.472222222222222E-3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 t="s">
        <v>185</v>
      </c>
      <c r="S192">
        <v>15.95</v>
      </c>
      <c r="T192">
        <v>250</v>
      </c>
      <c r="U192">
        <v>250</v>
      </c>
    </row>
    <row r="193" spans="1:21">
      <c r="A193">
        <v>44840</v>
      </c>
      <c r="B193" t="s">
        <v>96</v>
      </c>
      <c r="C193" t="s">
        <v>97</v>
      </c>
      <c r="D193" t="s">
        <v>163</v>
      </c>
      <c r="E193" t="s">
        <v>166</v>
      </c>
      <c r="F193" t="s">
        <v>1155</v>
      </c>
      <c r="G193">
        <v>0.34375</v>
      </c>
      <c r="H193" t="s">
        <v>1159</v>
      </c>
      <c r="I193">
        <v>0.95486111111111116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 t="s">
        <v>185</v>
      </c>
      <c r="S193">
        <v>14.666666666666664</v>
      </c>
      <c r="T193">
        <v>250</v>
      </c>
      <c r="U193">
        <v>250</v>
      </c>
    </row>
    <row r="194" spans="1:21">
      <c r="A194">
        <v>44841</v>
      </c>
      <c r="B194" t="s">
        <v>96</v>
      </c>
      <c r="C194" t="s">
        <v>97</v>
      </c>
      <c r="D194" t="s">
        <v>163</v>
      </c>
      <c r="E194" t="s">
        <v>166</v>
      </c>
      <c r="F194" t="s">
        <v>1154</v>
      </c>
      <c r="G194">
        <v>0.33541666666666664</v>
      </c>
      <c r="H194" t="s">
        <v>1160</v>
      </c>
      <c r="I194">
        <v>0.98055555555555551</v>
      </c>
      <c r="J194">
        <v>600</v>
      </c>
      <c r="K194">
        <v>0</v>
      </c>
      <c r="L194">
        <v>0</v>
      </c>
      <c r="M194">
        <v>0</v>
      </c>
      <c r="N194">
        <v>0</v>
      </c>
      <c r="O194">
        <v>0</v>
      </c>
      <c r="P194" t="s">
        <v>185</v>
      </c>
      <c r="S194">
        <v>15.483333333333334</v>
      </c>
      <c r="T194">
        <v>250</v>
      </c>
      <c r="U194">
        <v>850</v>
      </c>
    </row>
    <row r="195" spans="1:21">
      <c r="A195">
        <v>44842</v>
      </c>
      <c r="B195" t="s">
        <v>96</v>
      </c>
      <c r="C195" t="s">
        <v>97</v>
      </c>
      <c r="D195" t="s">
        <v>163</v>
      </c>
      <c r="E195" t="s">
        <v>166</v>
      </c>
      <c r="F195" t="s">
        <v>1154</v>
      </c>
      <c r="G195">
        <v>0.32430555555555557</v>
      </c>
      <c r="H195" t="s">
        <v>1155</v>
      </c>
      <c r="I195">
        <v>0.93958333333333333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 t="s">
        <v>185</v>
      </c>
      <c r="S195">
        <v>14.766666666666667</v>
      </c>
      <c r="T195">
        <v>250</v>
      </c>
      <c r="U195">
        <v>250</v>
      </c>
    </row>
    <row r="196" spans="1:21">
      <c r="A196">
        <v>44844</v>
      </c>
      <c r="B196" t="s">
        <v>96</v>
      </c>
      <c r="C196" t="s">
        <v>97</v>
      </c>
      <c r="D196" t="s">
        <v>163</v>
      </c>
      <c r="E196" t="s">
        <v>166</v>
      </c>
      <c r="F196" t="s">
        <v>1161</v>
      </c>
      <c r="G196">
        <v>0.30833333333333335</v>
      </c>
      <c r="H196" t="s">
        <v>1155</v>
      </c>
      <c r="I196">
        <v>0.93194444444444446</v>
      </c>
      <c r="J196">
        <v>0</v>
      </c>
      <c r="K196">
        <v>0</v>
      </c>
      <c r="L196">
        <v>0</v>
      </c>
      <c r="M196">
        <v>200</v>
      </c>
      <c r="N196">
        <v>0</v>
      </c>
      <c r="O196">
        <v>0</v>
      </c>
      <c r="P196" t="s">
        <v>185</v>
      </c>
      <c r="S196">
        <v>14.966666666666665</v>
      </c>
      <c r="T196">
        <v>250</v>
      </c>
      <c r="U196">
        <v>250</v>
      </c>
    </row>
    <row r="197" spans="1:21">
      <c r="A197">
        <v>44845</v>
      </c>
      <c r="B197" t="s">
        <v>96</v>
      </c>
      <c r="C197" t="s">
        <v>97</v>
      </c>
      <c r="D197" t="s">
        <v>163</v>
      </c>
      <c r="E197" t="s">
        <v>166</v>
      </c>
      <c r="F197" t="s">
        <v>1162</v>
      </c>
      <c r="G197">
        <v>0.33680555555555558</v>
      </c>
      <c r="H197" t="s">
        <v>1163</v>
      </c>
      <c r="I197">
        <v>0.97638888888888886</v>
      </c>
      <c r="J197">
        <v>160</v>
      </c>
      <c r="K197">
        <v>0</v>
      </c>
      <c r="L197">
        <v>0</v>
      </c>
      <c r="M197">
        <v>200</v>
      </c>
      <c r="N197">
        <v>0</v>
      </c>
      <c r="O197">
        <v>0</v>
      </c>
      <c r="P197" t="s">
        <v>185</v>
      </c>
      <c r="S197">
        <v>15.350000000000001</v>
      </c>
      <c r="T197">
        <v>250</v>
      </c>
      <c r="U197">
        <v>410</v>
      </c>
    </row>
    <row r="198" spans="1:21">
      <c r="A198">
        <v>44846</v>
      </c>
      <c r="B198" t="s">
        <v>96</v>
      </c>
      <c r="C198" t="s">
        <v>97</v>
      </c>
      <c r="D198" t="s">
        <v>163</v>
      </c>
      <c r="E198" t="s">
        <v>166</v>
      </c>
      <c r="F198" t="s">
        <v>1164</v>
      </c>
      <c r="G198">
        <v>0.27430555555555558</v>
      </c>
      <c r="H198" t="s">
        <v>1165</v>
      </c>
      <c r="I198">
        <v>0.9145833333333333</v>
      </c>
      <c r="J198">
        <v>600</v>
      </c>
      <c r="K198">
        <v>0</v>
      </c>
      <c r="L198">
        <v>0</v>
      </c>
      <c r="M198">
        <v>200</v>
      </c>
      <c r="N198">
        <v>0</v>
      </c>
      <c r="O198">
        <v>0</v>
      </c>
      <c r="P198" t="s">
        <v>185</v>
      </c>
      <c r="S198">
        <v>15.366666666666665</v>
      </c>
      <c r="T198">
        <v>250</v>
      </c>
      <c r="U198">
        <v>850</v>
      </c>
    </row>
    <row r="199" spans="1:21">
      <c r="A199">
        <v>44847</v>
      </c>
      <c r="B199" t="s">
        <v>96</v>
      </c>
      <c r="C199" t="s">
        <v>97</v>
      </c>
      <c r="D199" t="s">
        <v>163</v>
      </c>
      <c r="E199" t="s">
        <v>166</v>
      </c>
      <c r="F199" t="s">
        <v>1155</v>
      </c>
      <c r="G199">
        <v>0.33958333333333335</v>
      </c>
      <c r="H199" t="s">
        <v>1166</v>
      </c>
      <c r="I199">
        <v>0.86111111111111116</v>
      </c>
      <c r="J199">
        <v>0</v>
      </c>
      <c r="K199">
        <v>0</v>
      </c>
      <c r="L199">
        <v>0</v>
      </c>
      <c r="M199">
        <v>200</v>
      </c>
      <c r="N199">
        <v>0</v>
      </c>
      <c r="O199">
        <v>0</v>
      </c>
      <c r="P199" t="s">
        <v>185</v>
      </c>
      <c r="S199">
        <v>12.516666666666667</v>
      </c>
      <c r="T199">
        <v>250</v>
      </c>
      <c r="U199">
        <v>250</v>
      </c>
    </row>
    <row r="200" spans="1:21">
      <c r="A200">
        <v>44848</v>
      </c>
      <c r="B200" t="s">
        <v>96</v>
      </c>
      <c r="C200" t="s">
        <v>97</v>
      </c>
      <c r="D200" t="s">
        <v>163</v>
      </c>
      <c r="E200" t="s">
        <v>166</v>
      </c>
      <c r="F200" t="s">
        <v>1155</v>
      </c>
      <c r="G200">
        <v>0.34027777777777779</v>
      </c>
      <c r="H200" t="s">
        <v>1155</v>
      </c>
      <c r="I200">
        <v>0.9145833333333333</v>
      </c>
      <c r="J200">
        <v>600</v>
      </c>
      <c r="K200">
        <v>0</v>
      </c>
      <c r="L200">
        <v>0</v>
      </c>
      <c r="M200">
        <v>200</v>
      </c>
      <c r="N200">
        <v>0</v>
      </c>
      <c r="O200">
        <v>0</v>
      </c>
      <c r="P200" t="s">
        <v>185</v>
      </c>
      <c r="S200">
        <v>13.783333333333331</v>
      </c>
      <c r="T200">
        <v>250</v>
      </c>
      <c r="U200">
        <v>850</v>
      </c>
    </row>
    <row r="201" spans="1:21">
      <c r="A201">
        <v>44849</v>
      </c>
      <c r="B201" t="s">
        <v>96</v>
      </c>
      <c r="C201" t="s">
        <v>97</v>
      </c>
      <c r="D201" t="s">
        <v>163</v>
      </c>
      <c r="E201" t="s">
        <v>166</v>
      </c>
      <c r="F201" t="s">
        <v>1155</v>
      </c>
      <c r="G201">
        <v>0.34444444444444444</v>
      </c>
      <c r="H201" t="s">
        <v>1167</v>
      </c>
      <c r="I201">
        <v>0.9145833333333333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 t="s">
        <v>185</v>
      </c>
      <c r="S201">
        <v>13.683333333333334</v>
      </c>
      <c r="T201">
        <v>250</v>
      </c>
      <c r="U201">
        <v>250</v>
      </c>
    </row>
    <row r="202" spans="1:21">
      <c r="A202">
        <v>44839</v>
      </c>
      <c r="B202" t="s">
        <v>86</v>
      </c>
      <c r="C202" t="s">
        <v>87</v>
      </c>
      <c r="D202" t="s">
        <v>163</v>
      </c>
      <c r="E202" t="s">
        <v>186</v>
      </c>
      <c r="F202" t="s">
        <v>178</v>
      </c>
      <c r="G202">
        <v>0</v>
      </c>
      <c r="H202" t="s">
        <v>1168</v>
      </c>
      <c r="I202">
        <v>1.7361111111111112E-2</v>
      </c>
      <c r="J202">
        <v>1000</v>
      </c>
      <c r="K202">
        <v>0</v>
      </c>
      <c r="L202">
        <v>350</v>
      </c>
      <c r="M202">
        <v>0</v>
      </c>
      <c r="N202">
        <v>55</v>
      </c>
      <c r="O202">
        <v>0</v>
      </c>
      <c r="P202" t="s">
        <v>187</v>
      </c>
      <c r="S202">
        <v>0.41666666666666669</v>
      </c>
      <c r="T202">
        <v>0</v>
      </c>
      <c r="U202">
        <v>1405</v>
      </c>
    </row>
    <row r="203" spans="1:21">
      <c r="A203">
        <v>44841</v>
      </c>
      <c r="B203" t="s">
        <v>86</v>
      </c>
      <c r="C203" t="s">
        <v>87</v>
      </c>
      <c r="D203" t="s">
        <v>163</v>
      </c>
      <c r="E203" t="s">
        <v>186</v>
      </c>
      <c r="F203" t="s">
        <v>1169</v>
      </c>
      <c r="G203">
        <v>2.4305555555555556E-2</v>
      </c>
      <c r="H203" t="s">
        <v>189</v>
      </c>
      <c r="I203">
        <v>4.0972222222222222E-2</v>
      </c>
      <c r="J203">
        <v>0</v>
      </c>
      <c r="K203">
        <v>0</v>
      </c>
      <c r="L203">
        <v>350</v>
      </c>
      <c r="M203">
        <v>0</v>
      </c>
      <c r="N203">
        <v>60</v>
      </c>
      <c r="O203">
        <v>0</v>
      </c>
      <c r="P203" t="s">
        <v>187</v>
      </c>
      <c r="S203">
        <v>0.4</v>
      </c>
      <c r="T203">
        <v>0</v>
      </c>
      <c r="U203">
        <v>410</v>
      </c>
    </row>
    <row r="204" spans="1:21">
      <c r="A204">
        <v>44844</v>
      </c>
      <c r="B204" t="s">
        <v>86</v>
      </c>
      <c r="C204" t="s">
        <v>87</v>
      </c>
      <c r="D204" t="s">
        <v>163</v>
      </c>
      <c r="E204" t="s">
        <v>186</v>
      </c>
      <c r="F204" t="s">
        <v>188</v>
      </c>
      <c r="G204">
        <v>0.86319444444444449</v>
      </c>
      <c r="H204" t="s">
        <v>189</v>
      </c>
      <c r="I204">
        <v>0.87916666666666665</v>
      </c>
      <c r="J204">
        <v>1200</v>
      </c>
      <c r="K204">
        <v>0</v>
      </c>
      <c r="L204">
        <v>350</v>
      </c>
      <c r="M204">
        <v>0</v>
      </c>
      <c r="N204">
        <v>30</v>
      </c>
      <c r="O204">
        <v>0</v>
      </c>
      <c r="P204" t="s">
        <v>187</v>
      </c>
      <c r="S204">
        <v>0.38333333333333464</v>
      </c>
      <c r="T204">
        <v>0</v>
      </c>
      <c r="U204">
        <v>1580</v>
      </c>
    </row>
    <row r="205" spans="1:21">
      <c r="A205">
        <v>44845</v>
      </c>
      <c r="B205" t="s">
        <v>86</v>
      </c>
      <c r="C205" t="s">
        <v>87</v>
      </c>
      <c r="D205" t="s">
        <v>163</v>
      </c>
      <c r="E205" t="s">
        <v>186</v>
      </c>
      <c r="F205" t="s">
        <v>1169</v>
      </c>
      <c r="G205">
        <v>0.95694444444444449</v>
      </c>
      <c r="H205" t="s">
        <v>1170</v>
      </c>
      <c r="I205">
        <v>0.99375000000000002</v>
      </c>
      <c r="J205">
        <v>750</v>
      </c>
      <c r="K205">
        <v>0</v>
      </c>
      <c r="L205">
        <v>350</v>
      </c>
      <c r="M205">
        <v>0</v>
      </c>
      <c r="N205">
        <v>40</v>
      </c>
      <c r="O205">
        <v>0</v>
      </c>
      <c r="P205" t="s">
        <v>187</v>
      </c>
      <c r="S205">
        <v>0.88333333333333286</v>
      </c>
      <c r="T205">
        <v>0</v>
      </c>
      <c r="U205">
        <v>1140</v>
      </c>
    </row>
    <row r="206" spans="1:21">
      <c r="A206">
        <v>44846</v>
      </c>
      <c r="B206" t="s">
        <v>86</v>
      </c>
      <c r="C206" t="s">
        <v>87</v>
      </c>
      <c r="D206" t="s">
        <v>163</v>
      </c>
      <c r="E206" t="s">
        <v>186</v>
      </c>
      <c r="F206" t="s">
        <v>189</v>
      </c>
      <c r="G206">
        <v>0.9458333333333333</v>
      </c>
      <c r="H206" t="s">
        <v>189</v>
      </c>
      <c r="I206">
        <v>0.95625000000000004</v>
      </c>
      <c r="J206">
        <v>0</v>
      </c>
      <c r="K206">
        <v>0</v>
      </c>
      <c r="L206">
        <v>350</v>
      </c>
      <c r="M206">
        <v>0</v>
      </c>
      <c r="N206">
        <v>80</v>
      </c>
      <c r="O206">
        <v>0</v>
      </c>
      <c r="P206" t="s">
        <v>187</v>
      </c>
      <c r="S206">
        <v>0.24999999999999911</v>
      </c>
      <c r="T206">
        <v>0</v>
      </c>
      <c r="U206">
        <v>430</v>
      </c>
    </row>
    <row r="207" spans="1:21">
      <c r="A207">
        <v>44835</v>
      </c>
      <c r="B207" t="s">
        <v>74</v>
      </c>
      <c r="C207" t="s">
        <v>75</v>
      </c>
      <c r="D207" t="s">
        <v>163</v>
      </c>
      <c r="E207" t="s">
        <v>168</v>
      </c>
      <c r="F207" t="s">
        <v>1171</v>
      </c>
      <c r="G207">
        <v>0.36875000000000002</v>
      </c>
      <c r="H207" t="s">
        <v>164</v>
      </c>
      <c r="I207">
        <v>0.80763888888888891</v>
      </c>
      <c r="J207">
        <v>2000</v>
      </c>
      <c r="K207">
        <v>0</v>
      </c>
      <c r="L207">
        <v>250</v>
      </c>
      <c r="M207">
        <v>0</v>
      </c>
      <c r="N207">
        <v>0</v>
      </c>
      <c r="O207">
        <v>0</v>
      </c>
      <c r="P207" t="s">
        <v>190</v>
      </c>
      <c r="S207">
        <v>10.533333333333335</v>
      </c>
      <c r="T207">
        <v>250</v>
      </c>
      <c r="U207">
        <v>2500</v>
      </c>
    </row>
    <row r="208" spans="1:21">
      <c r="A208">
        <v>44837</v>
      </c>
      <c r="B208" t="s">
        <v>74</v>
      </c>
      <c r="C208" t="s">
        <v>75</v>
      </c>
      <c r="D208" t="s">
        <v>163</v>
      </c>
      <c r="E208" t="s">
        <v>168</v>
      </c>
      <c r="F208" t="s">
        <v>1172</v>
      </c>
      <c r="G208">
        <v>0.40277777777777779</v>
      </c>
      <c r="H208" t="s">
        <v>164</v>
      </c>
      <c r="I208">
        <v>0.74305555555555558</v>
      </c>
      <c r="J208">
        <v>1500</v>
      </c>
      <c r="K208">
        <v>0</v>
      </c>
      <c r="L208">
        <v>250</v>
      </c>
      <c r="M208">
        <v>0</v>
      </c>
      <c r="N208">
        <v>0</v>
      </c>
      <c r="O208">
        <v>0</v>
      </c>
      <c r="P208" t="s">
        <v>190</v>
      </c>
      <c r="S208">
        <v>8.1666666666666679</v>
      </c>
      <c r="T208">
        <v>250</v>
      </c>
      <c r="U208">
        <v>2000</v>
      </c>
    </row>
    <row r="209" spans="1:21">
      <c r="A209">
        <v>44838</v>
      </c>
      <c r="B209" t="s">
        <v>74</v>
      </c>
      <c r="C209" t="s">
        <v>75</v>
      </c>
      <c r="D209" t="s">
        <v>163</v>
      </c>
      <c r="E209" t="s">
        <v>168</v>
      </c>
      <c r="F209" t="s">
        <v>1173</v>
      </c>
      <c r="G209">
        <v>0.40833333333333333</v>
      </c>
      <c r="H209" t="s">
        <v>1174</v>
      </c>
      <c r="I209">
        <v>0.68263888888888891</v>
      </c>
      <c r="J209">
        <v>500</v>
      </c>
      <c r="K209">
        <v>0</v>
      </c>
      <c r="L209">
        <v>0</v>
      </c>
      <c r="M209">
        <v>0</v>
      </c>
      <c r="N209">
        <v>0</v>
      </c>
      <c r="O209">
        <v>0</v>
      </c>
      <c r="P209" t="s">
        <v>190</v>
      </c>
      <c r="S209">
        <v>6.5833333333333339</v>
      </c>
      <c r="T209">
        <v>125</v>
      </c>
      <c r="U209">
        <v>625</v>
      </c>
    </row>
    <row r="210" spans="1:21">
      <c r="A210">
        <v>44844</v>
      </c>
      <c r="B210" t="s">
        <v>74</v>
      </c>
      <c r="C210" t="s">
        <v>75</v>
      </c>
      <c r="D210" t="s">
        <v>163</v>
      </c>
      <c r="E210" t="s">
        <v>168</v>
      </c>
      <c r="F210" t="s">
        <v>1175</v>
      </c>
      <c r="G210">
        <v>0.49513888888888891</v>
      </c>
      <c r="H210" t="s">
        <v>1176</v>
      </c>
      <c r="I210">
        <v>0.9291666666666667</v>
      </c>
      <c r="J210">
        <v>0</v>
      </c>
      <c r="K210">
        <v>0</v>
      </c>
      <c r="L210">
        <v>250</v>
      </c>
      <c r="M210">
        <v>0</v>
      </c>
      <c r="N210">
        <v>0</v>
      </c>
      <c r="O210">
        <v>0</v>
      </c>
      <c r="P210" t="s">
        <v>190</v>
      </c>
      <c r="S210">
        <v>10.416666666666666</v>
      </c>
      <c r="T210">
        <v>250</v>
      </c>
      <c r="U210">
        <v>500</v>
      </c>
    </row>
    <row r="211" spans="1:21">
      <c r="A211">
        <v>44845</v>
      </c>
      <c r="B211" t="s">
        <v>74</v>
      </c>
      <c r="C211" t="s">
        <v>75</v>
      </c>
      <c r="D211" t="s">
        <v>163</v>
      </c>
      <c r="E211" t="s">
        <v>168</v>
      </c>
      <c r="F211" t="s">
        <v>1176</v>
      </c>
      <c r="G211">
        <v>0.34861111111111109</v>
      </c>
      <c r="H211" t="s">
        <v>1177</v>
      </c>
      <c r="I211">
        <v>0.96805555555555556</v>
      </c>
      <c r="J211">
        <v>1045</v>
      </c>
      <c r="K211">
        <v>0</v>
      </c>
      <c r="L211">
        <v>0</v>
      </c>
      <c r="M211">
        <v>0</v>
      </c>
      <c r="N211">
        <v>0</v>
      </c>
      <c r="O211">
        <v>0</v>
      </c>
      <c r="P211" t="s">
        <v>190</v>
      </c>
      <c r="S211">
        <v>14.866666666666667</v>
      </c>
      <c r="T211">
        <v>250</v>
      </c>
      <c r="U211">
        <v>1295</v>
      </c>
    </row>
    <row r="212" spans="1:21">
      <c r="A212">
        <v>44846</v>
      </c>
      <c r="B212" t="s">
        <v>74</v>
      </c>
      <c r="C212" t="s">
        <v>75</v>
      </c>
      <c r="D212" t="s">
        <v>163</v>
      </c>
      <c r="E212" t="s">
        <v>168</v>
      </c>
      <c r="F212" t="s">
        <v>1178</v>
      </c>
      <c r="G212">
        <v>0.34236111111111112</v>
      </c>
      <c r="H212" t="s">
        <v>1172</v>
      </c>
      <c r="I212">
        <v>0.90902777777777777</v>
      </c>
      <c r="J212">
        <v>1025</v>
      </c>
      <c r="K212">
        <v>2000</v>
      </c>
      <c r="L212">
        <v>0</v>
      </c>
      <c r="M212">
        <v>0</v>
      </c>
      <c r="N212">
        <v>662</v>
      </c>
      <c r="O212">
        <v>0</v>
      </c>
      <c r="P212" t="s">
        <v>190</v>
      </c>
      <c r="S212">
        <v>13.6</v>
      </c>
      <c r="T212">
        <v>0</v>
      </c>
      <c r="U212">
        <v>3687</v>
      </c>
    </row>
    <row r="213" spans="1:21">
      <c r="A213">
        <v>44848</v>
      </c>
      <c r="B213" t="s">
        <v>74</v>
      </c>
      <c r="C213" t="s">
        <v>75</v>
      </c>
      <c r="D213" t="s">
        <v>163</v>
      </c>
      <c r="E213" t="s">
        <v>168</v>
      </c>
      <c r="F213" t="s">
        <v>1179</v>
      </c>
      <c r="G213">
        <v>0.40763888888888888</v>
      </c>
      <c r="H213" t="s">
        <v>1176</v>
      </c>
      <c r="I213">
        <v>0.79166666666666663</v>
      </c>
      <c r="J213">
        <v>0</v>
      </c>
      <c r="K213">
        <v>0</v>
      </c>
      <c r="L213">
        <v>250</v>
      </c>
      <c r="M213">
        <v>0</v>
      </c>
      <c r="N213">
        <v>350</v>
      </c>
      <c r="O213">
        <v>0</v>
      </c>
      <c r="P213" t="s">
        <v>190</v>
      </c>
      <c r="S213">
        <v>9.216666666666665</v>
      </c>
      <c r="T213">
        <v>250</v>
      </c>
      <c r="U213">
        <v>850</v>
      </c>
    </row>
    <row r="214" spans="1:21">
      <c r="A214">
        <v>44849</v>
      </c>
      <c r="B214" t="s">
        <v>74</v>
      </c>
      <c r="C214" t="s">
        <v>75</v>
      </c>
      <c r="D214" t="s">
        <v>163</v>
      </c>
      <c r="E214" t="s">
        <v>168</v>
      </c>
      <c r="F214" t="s">
        <v>1176</v>
      </c>
      <c r="G214">
        <v>0.51944444444444449</v>
      </c>
      <c r="H214" t="s">
        <v>1176</v>
      </c>
      <c r="I214">
        <v>0.36875000000000002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 t="s">
        <v>190</v>
      </c>
      <c r="S214">
        <v>20.383333333333333</v>
      </c>
      <c r="T214">
        <v>250</v>
      </c>
      <c r="U214">
        <v>250</v>
      </c>
    </row>
    <row r="215" spans="1:21">
      <c r="A215">
        <v>44835</v>
      </c>
      <c r="B215" t="s">
        <v>59</v>
      </c>
      <c r="C215" t="s">
        <v>60</v>
      </c>
      <c r="D215" t="s">
        <v>163</v>
      </c>
      <c r="E215" t="s">
        <v>171</v>
      </c>
      <c r="F215" t="s">
        <v>1180</v>
      </c>
      <c r="G215">
        <v>0.33611111111111114</v>
      </c>
      <c r="H215" t="s">
        <v>1181</v>
      </c>
      <c r="I215">
        <v>0.85833333333333328</v>
      </c>
      <c r="J215">
        <v>426.24</v>
      </c>
      <c r="K215">
        <v>0</v>
      </c>
      <c r="L215">
        <v>0</v>
      </c>
      <c r="M215">
        <v>100</v>
      </c>
      <c r="N215">
        <v>0</v>
      </c>
      <c r="O215">
        <v>0</v>
      </c>
      <c r="P215" t="s">
        <v>191</v>
      </c>
      <c r="S215">
        <v>12.533333333333331</v>
      </c>
      <c r="T215">
        <v>125</v>
      </c>
      <c r="U215">
        <v>551.24</v>
      </c>
    </row>
    <row r="216" spans="1:21">
      <c r="A216">
        <v>44837</v>
      </c>
      <c r="B216" t="s">
        <v>59</v>
      </c>
      <c r="C216" t="s">
        <v>60</v>
      </c>
      <c r="D216" t="s">
        <v>163</v>
      </c>
      <c r="E216" t="s">
        <v>171</v>
      </c>
      <c r="F216" t="s">
        <v>1180</v>
      </c>
      <c r="G216">
        <v>0.31388888888888888</v>
      </c>
      <c r="H216" t="s">
        <v>1182</v>
      </c>
      <c r="I216">
        <v>0.85486111111111107</v>
      </c>
      <c r="J216">
        <v>0</v>
      </c>
      <c r="K216">
        <v>0</v>
      </c>
      <c r="L216">
        <v>0</v>
      </c>
      <c r="M216">
        <v>100</v>
      </c>
      <c r="N216">
        <v>0</v>
      </c>
      <c r="O216">
        <v>0</v>
      </c>
      <c r="P216" t="s">
        <v>191</v>
      </c>
      <c r="S216">
        <v>12.983333333333333</v>
      </c>
      <c r="T216">
        <v>125</v>
      </c>
      <c r="U216">
        <v>125</v>
      </c>
    </row>
    <row r="217" spans="1:21">
      <c r="A217">
        <v>44838</v>
      </c>
      <c r="B217" t="s">
        <v>59</v>
      </c>
      <c r="C217" t="s">
        <v>60</v>
      </c>
      <c r="D217" t="s">
        <v>163</v>
      </c>
      <c r="E217" t="s">
        <v>171</v>
      </c>
      <c r="F217" t="s">
        <v>1183</v>
      </c>
      <c r="G217">
        <v>0.26805555555555555</v>
      </c>
      <c r="H217" t="s">
        <v>1181</v>
      </c>
      <c r="I217">
        <v>0.82361111111111107</v>
      </c>
      <c r="J217">
        <v>100</v>
      </c>
      <c r="K217">
        <v>0</v>
      </c>
      <c r="L217">
        <v>0</v>
      </c>
      <c r="M217">
        <v>100</v>
      </c>
      <c r="N217">
        <v>0</v>
      </c>
      <c r="O217">
        <v>0</v>
      </c>
      <c r="P217" t="s">
        <v>191</v>
      </c>
      <c r="S217">
        <v>13.333333333333334</v>
      </c>
      <c r="T217">
        <v>125</v>
      </c>
      <c r="U217">
        <v>225</v>
      </c>
    </row>
    <row r="218" spans="1:21">
      <c r="A218">
        <v>44840</v>
      </c>
      <c r="B218" t="s">
        <v>59</v>
      </c>
      <c r="C218" t="s">
        <v>60</v>
      </c>
      <c r="D218" t="s">
        <v>163</v>
      </c>
      <c r="E218" t="s">
        <v>171</v>
      </c>
      <c r="F218" t="s">
        <v>1180</v>
      </c>
      <c r="G218">
        <v>0.32222222222222224</v>
      </c>
      <c r="H218" t="s">
        <v>1180</v>
      </c>
      <c r="I218">
        <v>0.88749999999999996</v>
      </c>
      <c r="J218">
        <v>213</v>
      </c>
      <c r="K218">
        <v>0</v>
      </c>
      <c r="L218">
        <v>0</v>
      </c>
      <c r="M218">
        <v>100</v>
      </c>
      <c r="N218">
        <v>0</v>
      </c>
      <c r="O218">
        <v>0</v>
      </c>
      <c r="P218" t="s">
        <v>191</v>
      </c>
      <c r="S218">
        <v>13.566666666666666</v>
      </c>
      <c r="T218">
        <v>125</v>
      </c>
      <c r="U218">
        <v>338</v>
      </c>
    </row>
    <row r="219" spans="1:21">
      <c r="A219">
        <v>44841</v>
      </c>
      <c r="B219" t="s">
        <v>59</v>
      </c>
      <c r="C219" t="s">
        <v>60</v>
      </c>
      <c r="D219" t="s">
        <v>163</v>
      </c>
      <c r="E219" t="s">
        <v>171</v>
      </c>
      <c r="F219" t="s">
        <v>1184</v>
      </c>
      <c r="G219">
        <v>0.32291666666666669</v>
      </c>
      <c r="H219" t="s">
        <v>1182</v>
      </c>
      <c r="I219">
        <v>0.84722222222222221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 t="s">
        <v>191</v>
      </c>
      <c r="S219">
        <v>12.583333333333334</v>
      </c>
      <c r="T219">
        <v>125</v>
      </c>
      <c r="U219">
        <v>125</v>
      </c>
    </row>
    <row r="220" spans="1:21">
      <c r="A220">
        <v>44842</v>
      </c>
      <c r="B220" t="s">
        <v>59</v>
      </c>
      <c r="C220" t="s">
        <v>60</v>
      </c>
      <c r="D220" t="s">
        <v>163</v>
      </c>
      <c r="E220" t="s">
        <v>171</v>
      </c>
      <c r="F220" t="s">
        <v>1185</v>
      </c>
      <c r="G220">
        <v>0.31111111111111112</v>
      </c>
      <c r="H220" t="s">
        <v>1186</v>
      </c>
      <c r="I220">
        <v>0.8569444444444444</v>
      </c>
      <c r="J220">
        <v>220</v>
      </c>
      <c r="K220">
        <v>0</v>
      </c>
      <c r="L220">
        <v>0</v>
      </c>
      <c r="M220">
        <v>0</v>
      </c>
      <c r="N220">
        <v>0</v>
      </c>
      <c r="O220">
        <v>0</v>
      </c>
      <c r="P220" t="s">
        <v>191</v>
      </c>
      <c r="S220">
        <v>13.099999999999998</v>
      </c>
      <c r="T220">
        <v>125</v>
      </c>
      <c r="U220">
        <v>345</v>
      </c>
    </row>
    <row r="221" spans="1:21">
      <c r="A221">
        <v>44844</v>
      </c>
      <c r="B221" t="s">
        <v>59</v>
      </c>
      <c r="C221" t="s">
        <v>60</v>
      </c>
      <c r="D221" t="s">
        <v>163</v>
      </c>
      <c r="E221" t="s">
        <v>171</v>
      </c>
      <c r="F221" t="s">
        <v>1186</v>
      </c>
      <c r="G221">
        <v>0.32777777777777778</v>
      </c>
      <c r="H221" t="s">
        <v>1180</v>
      </c>
      <c r="I221">
        <v>0.87916666666666665</v>
      </c>
      <c r="J221">
        <v>110</v>
      </c>
      <c r="K221">
        <v>0</v>
      </c>
      <c r="L221">
        <v>0</v>
      </c>
      <c r="M221">
        <v>100</v>
      </c>
      <c r="N221">
        <v>0</v>
      </c>
      <c r="O221">
        <v>0</v>
      </c>
      <c r="P221" t="s">
        <v>191</v>
      </c>
      <c r="S221">
        <v>13.233333333333334</v>
      </c>
      <c r="T221">
        <v>125</v>
      </c>
      <c r="U221">
        <v>235</v>
      </c>
    </row>
    <row r="222" spans="1:21">
      <c r="A222">
        <v>44845</v>
      </c>
      <c r="B222" t="s">
        <v>59</v>
      </c>
      <c r="C222" t="s">
        <v>60</v>
      </c>
      <c r="D222" t="s">
        <v>163</v>
      </c>
      <c r="E222" t="s">
        <v>171</v>
      </c>
      <c r="F222" t="s">
        <v>1180</v>
      </c>
      <c r="G222">
        <v>0.34652777777777777</v>
      </c>
      <c r="H222" t="s">
        <v>1187</v>
      </c>
      <c r="I222">
        <v>0.86041666666666672</v>
      </c>
      <c r="J222">
        <v>0</v>
      </c>
      <c r="K222">
        <v>0</v>
      </c>
      <c r="L222">
        <v>0</v>
      </c>
      <c r="M222">
        <v>100</v>
      </c>
      <c r="N222">
        <v>0</v>
      </c>
      <c r="O222">
        <v>350</v>
      </c>
      <c r="P222" t="s">
        <v>191</v>
      </c>
      <c r="S222">
        <v>12.333333333333332</v>
      </c>
      <c r="T222">
        <v>125</v>
      </c>
      <c r="U222">
        <v>475</v>
      </c>
    </row>
    <row r="223" spans="1:21">
      <c r="A223">
        <v>44846</v>
      </c>
      <c r="B223" t="s">
        <v>59</v>
      </c>
      <c r="C223" t="s">
        <v>60</v>
      </c>
      <c r="D223" t="s">
        <v>163</v>
      </c>
      <c r="E223" t="s">
        <v>171</v>
      </c>
      <c r="F223" t="s">
        <v>1186</v>
      </c>
      <c r="G223">
        <v>0.29375000000000001</v>
      </c>
      <c r="H223" t="s">
        <v>1181</v>
      </c>
      <c r="I223">
        <v>0.83819444444444446</v>
      </c>
      <c r="J223">
        <v>110</v>
      </c>
      <c r="K223">
        <v>0</v>
      </c>
      <c r="L223">
        <v>0</v>
      </c>
      <c r="M223">
        <v>100</v>
      </c>
      <c r="N223">
        <v>0</v>
      </c>
      <c r="O223">
        <v>0</v>
      </c>
      <c r="P223" t="s">
        <v>191</v>
      </c>
      <c r="S223">
        <v>13.066666666666668</v>
      </c>
      <c r="T223">
        <v>125</v>
      </c>
      <c r="U223">
        <v>235</v>
      </c>
    </row>
    <row r="224" spans="1:21">
      <c r="A224">
        <v>44847</v>
      </c>
      <c r="B224" t="s">
        <v>59</v>
      </c>
      <c r="C224" t="s">
        <v>60</v>
      </c>
      <c r="D224" t="s">
        <v>163</v>
      </c>
      <c r="E224" t="s">
        <v>171</v>
      </c>
      <c r="F224" t="s">
        <v>1180</v>
      </c>
      <c r="G224">
        <v>0.31111111111111112</v>
      </c>
      <c r="H224" t="s">
        <v>1188</v>
      </c>
      <c r="I224">
        <v>0.85277777777777775</v>
      </c>
      <c r="J224">
        <v>426.24</v>
      </c>
      <c r="K224">
        <v>0</v>
      </c>
      <c r="L224">
        <v>0</v>
      </c>
      <c r="M224">
        <v>100</v>
      </c>
      <c r="N224">
        <v>0</v>
      </c>
      <c r="O224">
        <v>0</v>
      </c>
      <c r="P224" t="s">
        <v>191</v>
      </c>
      <c r="S224">
        <v>13</v>
      </c>
      <c r="T224">
        <v>125</v>
      </c>
      <c r="U224">
        <v>551.24</v>
      </c>
    </row>
    <row r="225" spans="1:21">
      <c r="A225">
        <v>44848</v>
      </c>
      <c r="B225" t="s">
        <v>59</v>
      </c>
      <c r="C225" t="s">
        <v>60</v>
      </c>
      <c r="D225" t="s">
        <v>163</v>
      </c>
      <c r="E225" t="s">
        <v>171</v>
      </c>
      <c r="F225" t="s">
        <v>1180</v>
      </c>
      <c r="G225">
        <v>0.31319444444444444</v>
      </c>
      <c r="H225" t="s">
        <v>1181</v>
      </c>
      <c r="I225">
        <v>0.87083333333333335</v>
      </c>
      <c r="J225">
        <v>0</v>
      </c>
      <c r="K225">
        <v>0</v>
      </c>
      <c r="L225">
        <v>0</v>
      </c>
      <c r="M225">
        <v>100</v>
      </c>
      <c r="N225">
        <v>0</v>
      </c>
      <c r="O225">
        <v>0</v>
      </c>
      <c r="P225" t="s">
        <v>191</v>
      </c>
      <c r="S225">
        <v>13.383333333333333</v>
      </c>
      <c r="T225">
        <v>125</v>
      </c>
      <c r="U225">
        <v>125</v>
      </c>
    </row>
    <row r="226" spans="1:21">
      <c r="A226">
        <v>44849</v>
      </c>
      <c r="B226" t="s">
        <v>59</v>
      </c>
      <c r="C226" t="s">
        <v>60</v>
      </c>
      <c r="D226" t="s">
        <v>163</v>
      </c>
      <c r="E226" t="s">
        <v>171</v>
      </c>
      <c r="F226" t="s">
        <v>1182</v>
      </c>
      <c r="G226">
        <v>0.32916666666666666</v>
      </c>
      <c r="H226" t="s">
        <v>1189</v>
      </c>
      <c r="I226">
        <v>0.85277777777777775</v>
      </c>
      <c r="J226">
        <v>0</v>
      </c>
      <c r="K226">
        <v>0</v>
      </c>
      <c r="L226">
        <v>0</v>
      </c>
      <c r="M226">
        <v>100</v>
      </c>
      <c r="N226">
        <v>0</v>
      </c>
      <c r="O226">
        <v>0</v>
      </c>
      <c r="P226" t="s">
        <v>191</v>
      </c>
      <c r="S226">
        <v>12.566666666666665</v>
      </c>
      <c r="T226">
        <v>125</v>
      </c>
      <c r="U226">
        <v>125</v>
      </c>
    </row>
    <row r="227" spans="1:21">
      <c r="A227">
        <v>44835</v>
      </c>
      <c r="B227" t="s">
        <v>458</v>
      </c>
      <c r="C227" t="s">
        <v>459</v>
      </c>
      <c r="D227" t="s">
        <v>163</v>
      </c>
      <c r="E227" t="s">
        <v>171</v>
      </c>
      <c r="F227" t="s">
        <v>1190</v>
      </c>
      <c r="G227">
        <v>0.32500000000000001</v>
      </c>
      <c r="H227" t="s">
        <v>1191</v>
      </c>
      <c r="I227">
        <v>0.76597222222222228</v>
      </c>
      <c r="J227">
        <v>0</v>
      </c>
      <c r="K227">
        <v>0</v>
      </c>
      <c r="L227">
        <v>150</v>
      </c>
      <c r="M227">
        <v>0</v>
      </c>
      <c r="N227">
        <v>0</v>
      </c>
      <c r="O227">
        <v>0</v>
      </c>
      <c r="P227" t="s">
        <v>1192</v>
      </c>
      <c r="S227">
        <v>10.583333333333332</v>
      </c>
      <c r="T227">
        <v>125</v>
      </c>
      <c r="U227">
        <v>275</v>
      </c>
    </row>
    <row r="228" spans="1:21">
      <c r="A228">
        <v>44836</v>
      </c>
      <c r="B228" t="s">
        <v>458</v>
      </c>
      <c r="C228" t="s">
        <v>459</v>
      </c>
      <c r="D228" t="s">
        <v>163</v>
      </c>
      <c r="E228" t="s">
        <v>171</v>
      </c>
      <c r="F228" t="s">
        <v>1190</v>
      </c>
      <c r="G228">
        <v>0.33611111111111114</v>
      </c>
      <c r="H228" t="s">
        <v>1193</v>
      </c>
      <c r="I228">
        <v>0.80069444444444449</v>
      </c>
      <c r="J228">
        <v>410</v>
      </c>
      <c r="K228">
        <v>0</v>
      </c>
      <c r="L228">
        <v>300</v>
      </c>
      <c r="M228">
        <v>0</v>
      </c>
      <c r="N228">
        <v>0</v>
      </c>
      <c r="O228">
        <v>0</v>
      </c>
      <c r="P228" t="s">
        <v>1192</v>
      </c>
      <c r="S228">
        <v>11.149999999999999</v>
      </c>
      <c r="T228">
        <v>125</v>
      </c>
      <c r="U228">
        <v>835</v>
      </c>
    </row>
    <row r="229" spans="1:21">
      <c r="A229">
        <v>44837</v>
      </c>
      <c r="B229" t="s">
        <v>458</v>
      </c>
      <c r="C229" t="s">
        <v>459</v>
      </c>
      <c r="D229" t="s">
        <v>163</v>
      </c>
      <c r="E229" t="s">
        <v>171</v>
      </c>
      <c r="F229" t="s">
        <v>1190</v>
      </c>
      <c r="G229">
        <v>0.33611111111111114</v>
      </c>
      <c r="H229" t="s">
        <v>1194</v>
      </c>
      <c r="I229">
        <v>0.77361111111111114</v>
      </c>
      <c r="J229">
        <v>0</v>
      </c>
      <c r="K229">
        <v>0</v>
      </c>
      <c r="L229">
        <v>150</v>
      </c>
      <c r="M229">
        <v>0</v>
      </c>
      <c r="N229">
        <v>0</v>
      </c>
      <c r="O229">
        <v>0</v>
      </c>
      <c r="P229" t="s">
        <v>1192</v>
      </c>
      <c r="S229">
        <v>10.499999999999998</v>
      </c>
      <c r="T229">
        <v>125</v>
      </c>
      <c r="U229">
        <v>275</v>
      </c>
    </row>
    <row r="230" spans="1:21">
      <c r="A230">
        <v>44838</v>
      </c>
      <c r="B230" t="s">
        <v>458</v>
      </c>
      <c r="C230" t="s">
        <v>459</v>
      </c>
      <c r="D230" t="s">
        <v>163</v>
      </c>
      <c r="E230" t="s">
        <v>171</v>
      </c>
      <c r="F230" t="s">
        <v>1195</v>
      </c>
      <c r="G230">
        <v>0.36736111111111114</v>
      </c>
      <c r="H230" t="s">
        <v>1193</v>
      </c>
      <c r="I230">
        <v>0.76666666666666672</v>
      </c>
      <c r="J230">
        <v>0</v>
      </c>
      <c r="K230">
        <v>0</v>
      </c>
      <c r="L230">
        <v>150</v>
      </c>
      <c r="M230">
        <v>0</v>
      </c>
      <c r="N230">
        <v>0</v>
      </c>
      <c r="O230">
        <v>0</v>
      </c>
      <c r="P230" t="s">
        <v>1192</v>
      </c>
      <c r="S230">
        <v>9.5833333333333321</v>
      </c>
      <c r="T230">
        <v>125</v>
      </c>
      <c r="U230">
        <v>275</v>
      </c>
    </row>
    <row r="231" spans="1:21">
      <c r="A231">
        <v>44839</v>
      </c>
      <c r="B231" t="s">
        <v>458</v>
      </c>
      <c r="C231" t="s">
        <v>459</v>
      </c>
      <c r="D231" t="s">
        <v>163</v>
      </c>
      <c r="E231" t="s">
        <v>171</v>
      </c>
      <c r="F231" t="s">
        <v>1194</v>
      </c>
      <c r="G231">
        <v>0.34166666666666667</v>
      </c>
      <c r="H231" t="s">
        <v>1194</v>
      </c>
      <c r="I231">
        <v>0.77013888888888893</v>
      </c>
      <c r="J231">
        <v>0</v>
      </c>
      <c r="K231">
        <v>0</v>
      </c>
      <c r="L231">
        <v>150</v>
      </c>
      <c r="M231">
        <v>0</v>
      </c>
      <c r="N231">
        <v>0</v>
      </c>
      <c r="O231">
        <v>0</v>
      </c>
      <c r="P231" t="s">
        <v>1192</v>
      </c>
      <c r="S231">
        <v>10.283333333333331</v>
      </c>
      <c r="T231">
        <v>125</v>
      </c>
      <c r="U231">
        <v>275</v>
      </c>
    </row>
    <row r="232" spans="1:21">
      <c r="A232">
        <v>44840</v>
      </c>
      <c r="B232" t="s">
        <v>458</v>
      </c>
      <c r="C232" t="s">
        <v>459</v>
      </c>
      <c r="D232" t="s">
        <v>163</v>
      </c>
      <c r="E232" t="s">
        <v>171</v>
      </c>
      <c r="F232" t="s">
        <v>1196</v>
      </c>
      <c r="G232">
        <v>0.34444444444444444</v>
      </c>
      <c r="H232" t="s">
        <v>1193</v>
      </c>
      <c r="I232">
        <v>0.76458333333333328</v>
      </c>
      <c r="J232">
        <v>0</v>
      </c>
      <c r="K232">
        <v>0</v>
      </c>
      <c r="L232">
        <v>150</v>
      </c>
      <c r="M232">
        <v>0</v>
      </c>
      <c r="N232">
        <v>0</v>
      </c>
      <c r="O232">
        <v>0</v>
      </c>
      <c r="P232" t="s">
        <v>1192</v>
      </c>
      <c r="S232">
        <v>10.083333333333332</v>
      </c>
      <c r="T232">
        <v>125</v>
      </c>
      <c r="U232">
        <v>275</v>
      </c>
    </row>
    <row r="233" spans="1:21">
      <c r="A233">
        <v>44841</v>
      </c>
      <c r="B233" t="s">
        <v>458</v>
      </c>
      <c r="C233" t="s">
        <v>459</v>
      </c>
      <c r="D233" t="s">
        <v>163</v>
      </c>
      <c r="E233" t="s">
        <v>171</v>
      </c>
      <c r="F233" t="s">
        <v>1194</v>
      </c>
      <c r="G233">
        <v>0.33263888888888887</v>
      </c>
      <c r="H233" t="s">
        <v>1193</v>
      </c>
      <c r="I233">
        <v>0.78472222222222221</v>
      </c>
      <c r="J233">
        <v>200</v>
      </c>
      <c r="K233">
        <v>0</v>
      </c>
      <c r="L233">
        <v>150</v>
      </c>
      <c r="M233">
        <v>0</v>
      </c>
      <c r="N233">
        <v>0</v>
      </c>
      <c r="O233">
        <v>0</v>
      </c>
      <c r="P233" t="s">
        <v>1192</v>
      </c>
      <c r="S233">
        <v>10.85</v>
      </c>
      <c r="T233">
        <v>125</v>
      </c>
      <c r="U233">
        <v>475</v>
      </c>
    </row>
    <row r="234" spans="1:21">
      <c r="A234">
        <v>44842</v>
      </c>
      <c r="B234" t="s">
        <v>458</v>
      </c>
      <c r="C234" t="s">
        <v>459</v>
      </c>
      <c r="D234" t="s">
        <v>163</v>
      </c>
      <c r="E234" t="s">
        <v>171</v>
      </c>
      <c r="F234" t="s">
        <v>1197</v>
      </c>
      <c r="G234">
        <v>0.33055555555555555</v>
      </c>
      <c r="H234" t="s">
        <v>1195</v>
      </c>
      <c r="I234">
        <v>0.8041666666666667</v>
      </c>
      <c r="J234">
        <v>0</v>
      </c>
      <c r="K234">
        <v>0</v>
      </c>
      <c r="L234">
        <v>150</v>
      </c>
      <c r="M234">
        <v>0</v>
      </c>
      <c r="N234">
        <v>0</v>
      </c>
      <c r="O234">
        <v>0</v>
      </c>
      <c r="P234" t="s">
        <v>1192</v>
      </c>
      <c r="S234">
        <v>11.366666666666665</v>
      </c>
      <c r="T234">
        <v>125</v>
      </c>
      <c r="U234">
        <v>275</v>
      </c>
    </row>
    <row r="235" spans="1:21">
      <c r="A235">
        <v>44844</v>
      </c>
      <c r="B235" t="s">
        <v>458</v>
      </c>
      <c r="C235" t="s">
        <v>459</v>
      </c>
      <c r="D235" t="s">
        <v>163</v>
      </c>
      <c r="E235" t="s">
        <v>171</v>
      </c>
      <c r="F235" t="s">
        <v>1196</v>
      </c>
      <c r="G235">
        <v>0.33958333333333335</v>
      </c>
      <c r="H235" t="s">
        <v>1193</v>
      </c>
      <c r="I235">
        <v>0.76388888888888884</v>
      </c>
      <c r="J235">
        <v>0</v>
      </c>
      <c r="K235">
        <v>0</v>
      </c>
      <c r="L235">
        <v>150</v>
      </c>
      <c r="M235">
        <v>0</v>
      </c>
      <c r="N235">
        <v>0</v>
      </c>
      <c r="O235">
        <v>0</v>
      </c>
      <c r="P235" t="s">
        <v>1192</v>
      </c>
      <c r="S235">
        <v>10.183333333333334</v>
      </c>
      <c r="T235">
        <v>125</v>
      </c>
      <c r="U235">
        <v>275</v>
      </c>
    </row>
    <row r="236" spans="1:21">
      <c r="A236">
        <v>44845</v>
      </c>
      <c r="B236" t="s">
        <v>458</v>
      </c>
      <c r="C236" t="s">
        <v>459</v>
      </c>
      <c r="D236" t="s">
        <v>163</v>
      </c>
      <c r="E236" t="s">
        <v>171</v>
      </c>
      <c r="F236" t="s">
        <v>1190</v>
      </c>
      <c r="G236">
        <v>0.33611111111111114</v>
      </c>
      <c r="H236" t="s">
        <v>1194</v>
      </c>
      <c r="I236">
        <v>0.78541666666666665</v>
      </c>
      <c r="J236">
        <v>410</v>
      </c>
      <c r="K236">
        <v>0</v>
      </c>
      <c r="L236">
        <v>150</v>
      </c>
      <c r="M236">
        <v>0</v>
      </c>
      <c r="N236">
        <v>0</v>
      </c>
      <c r="O236">
        <v>0</v>
      </c>
      <c r="P236" t="s">
        <v>1192</v>
      </c>
      <c r="S236">
        <v>10.783333333333333</v>
      </c>
      <c r="T236">
        <v>125</v>
      </c>
      <c r="U236">
        <v>685</v>
      </c>
    </row>
    <row r="237" spans="1:21">
      <c r="A237">
        <v>44846</v>
      </c>
      <c r="B237" t="s">
        <v>458</v>
      </c>
      <c r="C237" t="s">
        <v>459</v>
      </c>
      <c r="D237" t="s">
        <v>163</v>
      </c>
      <c r="E237" t="s">
        <v>171</v>
      </c>
      <c r="F237" t="s">
        <v>1190</v>
      </c>
      <c r="G237">
        <v>0.33819444444444446</v>
      </c>
      <c r="H237" t="s">
        <v>1196</v>
      </c>
      <c r="I237">
        <v>0.78194444444444444</v>
      </c>
      <c r="J237">
        <v>0</v>
      </c>
      <c r="K237">
        <v>0</v>
      </c>
      <c r="L237">
        <v>150</v>
      </c>
      <c r="M237">
        <v>0</v>
      </c>
      <c r="N237">
        <v>0</v>
      </c>
      <c r="O237">
        <v>0</v>
      </c>
      <c r="P237" t="s">
        <v>1192</v>
      </c>
      <c r="S237">
        <v>10.65</v>
      </c>
      <c r="T237">
        <v>125</v>
      </c>
      <c r="U237">
        <v>275</v>
      </c>
    </row>
    <row r="238" spans="1:21">
      <c r="A238">
        <v>44847</v>
      </c>
      <c r="B238" t="s">
        <v>458</v>
      </c>
      <c r="C238" t="s">
        <v>459</v>
      </c>
      <c r="D238" t="s">
        <v>163</v>
      </c>
      <c r="E238" t="s">
        <v>171</v>
      </c>
      <c r="F238" t="s">
        <v>1196</v>
      </c>
      <c r="G238">
        <v>0.31805555555555554</v>
      </c>
      <c r="H238" t="s">
        <v>1193</v>
      </c>
      <c r="I238">
        <v>0.76666666666666672</v>
      </c>
      <c r="J238">
        <v>0</v>
      </c>
      <c r="K238">
        <v>0</v>
      </c>
      <c r="L238">
        <v>150</v>
      </c>
      <c r="M238">
        <v>0</v>
      </c>
      <c r="N238">
        <v>0</v>
      </c>
      <c r="O238">
        <v>0</v>
      </c>
      <c r="P238" t="s">
        <v>1192</v>
      </c>
      <c r="S238">
        <v>10.766666666666666</v>
      </c>
      <c r="T238">
        <v>125</v>
      </c>
      <c r="U238">
        <v>275</v>
      </c>
    </row>
    <row r="239" spans="1:21">
      <c r="A239">
        <v>44848</v>
      </c>
      <c r="B239" t="s">
        <v>458</v>
      </c>
      <c r="C239" t="s">
        <v>459</v>
      </c>
      <c r="D239" t="s">
        <v>163</v>
      </c>
      <c r="E239" t="s">
        <v>171</v>
      </c>
      <c r="F239" t="s">
        <v>1193</v>
      </c>
      <c r="G239">
        <v>0.33750000000000002</v>
      </c>
      <c r="H239" t="s">
        <v>1194</v>
      </c>
      <c r="I239">
        <v>0.78888888888888886</v>
      </c>
      <c r="J239">
        <v>0</v>
      </c>
      <c r="K239">
        <v>0</v>
      </c>
      <c r="L239">
        <v>150</v>
      </c>
      <c r="M239">
        <v>0</v>
      </c>
      <c r="N239">
        <v>0</v>
      </c>
      <c r="O239">
        <v>0</v>
      </c>
      <c r="P239" t="s">
        <v>1192</v>
      </c>
      <c r="S239">
        <v>10.833333333333334</v>
      </c>
      <c r="T239">
        <v>125</v>
      </c>
      <c r="U239">
        <v>275</v>
      </c>
    </row>
    <row r="240" spans="1:21">
      <c r="A240">
        <v>44849</v>
      </c>
      <c r="B240" t="s">
        <v>458</v>
      </c>
      <c r="C240" t="s">
        <v>459</v>
      </c>
      <c r="D240" t="s">
        <v>163</v>
      </c>
      <c r="E240" t="s">
        <v>171</v>
      </c>
      <c r="F240" t="s">
        <v>1194</v>
      </c>
      <c r="G240">
        <v>0.35625000000000001</v>
      </c>
      <c r="H240" t="s">
        <v>1194</v>
      </c>
      <c r="I240">
        <v>0.77500000000000002</v>
      </c>
      <c r="J240">
        <v>0</v>
      </c>
      <c r="K240">
        <v>0</v>
      </c>
      <c r="L240">
        <v>150</v>
      </c>
      <c r="M240">
        <v>0</v>
      </c>
      <c r="N240">
        <v>0</v>
      </c>
      <c r="O240">
        <v>0</v>
      </c>
      <c r="P240" t="s">
        <v>1192</v>
      </c>
      <c r="S240">
        <v>10.050000000000001</v>
      </c>
      <c r="T240">
        <v>125</v>
      </c>
      <c r="U240">
        <v>275</v>
      </c>
    </row>
    <row r="241" spans="1:21">
      <c r="A241">
        <v>44835</v>
      </c>
      <c r="B241" t="s">
        <v>474</v>
      </c>
      <c r="C241" t="s">
        <v>475</v>
      </c>
      <c r="D241" t="s">
        <v>163</v>
      </c>
      <c r="E241" t="s">
        <v>166</v>
      </c>
      <c r="F241" t="s">
        <v>1198</v>
      </c>
      <c r="G241">
        <v>0.29097222222222224</v>
      </c>
      <c r="H241" t="s">
        <v>1199</v>
      </c>
      <c r="I241">
        <v>0.77777777777777779</v>
      </c>
      <c r="J241">
        <v>0</v>
      </c>
      <c r="K241">
        <v>0</v>
      </c>
      <c r="L241">
        <v>0</v>
      </c>
      <c r="M241">
        <v>250</v>
      </c>
      <c r="N241">
        <v>0</v>
      </c>
      <c r="O241">
        <v>0</v>
      </c>
      <c r="P241" t="s">
        <v>1200</v>
      </c>
      <c r="S241">
        <v>11.683333333333334</v>
      </c>
      <c r="T241">
        <v>250</v>
      </c>
      <c r="U241">
        <v>250</v>
      </c>
    </row>
    <row r="242" spans="1:21">
      <c r="A242">
        <v>44836</v>
      </c>
      <c r="B242" t="s">
        <v>474</v>
      </c>
      <c r="C242" t="s">
        <v>475</v>
      </c>
      <c r="D242" t="s">
        <v>163</v>
      </c>
      <c r="E242" t="s">
        <v>166</v>
      </c>
      <c r="F242" t="s">
        <v>1201</v>
      </c>
      <c r="G242">
        <v>0.31458333333333333</v>
      </c>
      <c r="H242" t="s">
        <v>1202</v>
      </c>
      <c r="I242">
        <v>0.50069444444444444</v>
      </c>
      <c r="J242">
        <v>200</v>
      </c>
      <c r="K242">
        <v>0</v>
      </c>
      <c r="L242">
        <v>0</v>
      </c>
      <c r="M242">
        <v>250</v>
      </c>
      <c r="N242">
        <v>0</v>
      </c>
      <c r="O242">
        <v>0</v>
      </c>
      <c r="P242" t="s">
        <v>1200</v>
      </c>
      <c r="S242">
        <v>4.4666666666666668</v>
      </c>
      <c r="T242">
        <v>125</v>
      </c>
      <c r="U242">
        <v>325</v>
      </c>
    </row>
    <row r="243" spans="1:21">
      <c r="A243">
        <v>44838</v>
      </c>
      <c r="B243" t="s">
        <v>474</v>
      </c>
      <c r="C243" t="s">
        <v>475</v>
      </c>
      <c r="D243" t="s">
        <v>163</v>
      </c>
      <c r="E243" t="s">
        <v>166</v>
      </c>
      <c r="F243" t="s">
        <v>1202</v>
      </c>
      <c r="G243">
        <v>0.32847222222222222</v>
      </c>
      <c r="H243" t="s">
        <v>1203</v>
      </c>
      <c r="I243">
        <v>0.78472222222222221</v>
      </c>
      <c r="J243">
        <v>500</v>
      </c>
      <c r="K243">
        <v>0</v>
      </c>
      <c r="L243">
        <v>0</v>
      </c>
      <c r="M243">
        <v>0</v>
      </c>
      <c r="N243">
        <v>0</v>
      </c>
      <c r="O243">
        <v>0</v>
      </c>
      <c r="P243" t="s">
        <v>1200</v>
      </c>
      <c r="S243">
        <v>10.95</v>
      </c>
      <c r="T243">
        <v>250</v>
      </c>
      <c r="U243">
        <v>750</v>
      </c>
    </row>
    <row r="244" spans="1:21">
      <c r="A244">
        <v>44839</v>
      </c>
      <c r="B244" t="s">
        <v>474</v>
      </c>
      <c r="C244" t="s">
        <v>475</v>
      </c>
      <c r="D244" t="s">
        <v>163</v>
      </c>
      <c r="E244" t="s">
        <v>166</v>
      </c>
      <c r="F244" t="s">
        <v>1199</v>
      </c>
      <c r="G244">
        <v>0.27430555555555558</v>
      </c>
      <c r="H244" t="s">
        <v>1204</v>
      </c>
      <c r="I244">
        <v>0.79374999999999996</v>
      </c>
      <c r="J244">
        <v>250</v>
      </c>
      <c r="K244">
        <v>0</v>
      </c>
      <c r="L244">
        <v>0</v>
      </c>
      <c r="M244">
        <v>500</v>
      </c>
      <c r="N244">
        <v>0</v>
      </c>
      <c r="O244">
        <v>0</v>
      </c>
      <c r="P244" t="s">
        <v>1200</v>
      </c>
      <c r="S244">
        <v>12.466666666666665</v>
      </c>
      <c r="T244">
        <v>250</v>
      </c>
      <c r="U244">
        <v>500</v>
      </c>
    </row>
    <row r="245" spans="1:21">
      <c r="A245">
        <v>44841</v>
      </c>
      <c r="B245" t="s">
        <v>474</v>
      </c>
      <c r="C245" t="s">
        <v>475</v>
      </c>
      <c r="D245" t="s">
        <v>163</v>
      </c>
      <c r="E245" t="s">
        <v>166</v>
      </c>
      <c r="F245" t="s">
        <v>1203</v>
      </c>
      <c r="G245">
        <v>0.29652777777777778</v>
      </c>
      <c r="H245" t="s">
        <v>1199</v>
      </c>
      <c r="I245">
        <v>0.75763888888888886</v>
      </c>
      <c r="J245">
        <v>200</v>
      </c>
      <c r="K245">
        <v>0</v>
      </c>
      <c r="L245">
        <v>0</v>
      </c>
      <c r="M245">
        <v>250</v>
      </c>
      <c r="N245">
        <v>0</v>
      </c>
      <c r="O245">
        <v>0</v>
      </c>
      <c r="P245" t="s">
        <v>1200</v>
      </c>
      <c r="S245">
        <v>11.066666666666666</v>
      </c>
      <c r="T245">
        <v>250</v>
      </c>
      <c r="U245">
        <v>450</v>
      </c>
    </row>
    <row r="246" spans="1:21">
      <c r="A246">
        <v>44842</v>
      </c>
      <c r="B246" t="s">
        <v>474</v>
      </c>
      <c r="C246" t="s">
        <v>475</v>
      </c>
      <c r="D246" t="s">
        <v>163</v>
      </c>
      <c r="E246" t="s">
        <v>166</v>
      </c>
      <c r="F246" t="s">
        <v>1199</v>
      </c>
      <c r="G246">
        <v>0.3034722222222222</v>
      </c>
      <c r="H246" t="s">
        <v>1199</v>
      </c>
      <c r="I246">
        <v>0.79513888888888884</v>
      </c>
      <c r="J246">
        <v>0</v>
      </c>
      <c r="K246">
        <v>0</v>
      </c>
      <c r="L246">
        <v>0</v>
      </c>
      <c r="M246">
        <v>250</v>
      </c>
      <c r="N246">
        <v>0</v>
      </c>
      <c r="O246">
        <v>0</v>
      </c>
      <c r="P246" t="s">
        <v>1200</v>
      </c>
      <c r="S246">
        <v>11.799999999999999</v>
      </c>
      <c r="T246">
        <v>250</v>
      </c>
      <c r="U246">
        <v>250</v>
      </c>
    </row>
    <row r="247" spans="1:21">
      <c r="A247">
        <v>44844</v>
      </c>
      <c r="B247" t="s">
        <v>474</v>
      </c>
      <c r="C247" t="s">
        <v>475</v>
      </c>
      <c r="D247" t="s">
        <v>163</v>
      </c>
      <c r="E247" t="s">
        <v>166</v>
      </c>
      <c r="F247" t="s">
        <v>1199</v>
      </c>
      <c r="G247">
        <v>0.33750000000000002</v>
      </c>
      <c r="H247" t="s">
        <v>1199</v>
      </c>
      <c r="I247">
        <v>0.74583333333333335</v>
      </c>
      <c r="J247">
        <v>200</v>
      </c>
      <c r="K247">
        <v>0</v>
      </c>
      <c r="L247">
        <v>0</v>
      </c>
      <c r="M247">
        <v>250</v>
      </c>
      <c r="N247">
        <v>0</v>
      </c>
      <c r="O247">
        <v>0</v>
      </c>
      <c r="P247" t="s">
        <v>1200</v>
      </c>
      <c r="S247">
        <v>9.8000000000000007</v>
      </c>
      <c r="T247">
        <v>250</v>
      </c>
      <c r="U247">
        <v>450</v>
      </c>
    </row>
    <row r="248" spans="1:21">
      <c r="A248">
        <v>44846</v>
      </c>
      <c r="B248" t="s">
        <v>474</v>
      </c>
      <c r="C248" t="s">
        <v>475</v>
      </c>
      <c r="D248" t="s">
        <v>163</v>
      </c>
      <c r="E248" t="s">
        <v>166</v>
      </c>
      <c r="F248" t="s">
        <v>1205</v>
      </c>
      <c r="G248">
        <v>0.3347222222222222</v>
      </c>
      <c r="H248" t="s">
        <v>1206</v>
      </c>
      <c r="I248">
        <v>0.7319444444444444</v>
      </c>
      <c r="J248">
        <v>0</v>
      </c>
      <c r="K248">
        <v>2800</v>
      </c>
      <c r="L248">
        <v>0</v>
      </c>
      <c r="M248">
        <v>0</v>
      </c>
      <c r="N248">
        <v>0</v>
      </c>
      <c r="O248">
        <v>0</v>
      </c>
      <c r="P248" t="s">
        <v>1200</v>
      </c>
      <c r="S248">
        <v>9.5333333333333332</v>
      </c>
      <c r="T248">
        <v>0</v>
      </c>
      <c r="U248">
        <v>2800</v>
      </c>
    </row>
    <row r="249" spans="1:21">
      <c r="A249">
        <v>44847</v>
      </c>
      <c r="B249" t="s">
        <v>474</v>
      </c>
      <c r="C249" t="s">
        <v>475</v>
      </c>
      <c r="D249" t="s">
        <v>163</v>
      </c>
      <c r="E249" t="s">
        <v>166</v>
      </c>
      <c r="F249" t="s">
        <v>1207</v>
      </c>
      <c r="G249">
        <v>0.33055555555555555</v>
      </c>
      <c r="H249" t="s">
        <v>1199</v>
      </c>
      <c r="I249">
        <v>0.75555555555555554</v>
      </c>
      <c r="J249">
        <v>0</v>
      </c>
      <c r="K249">
        <v>0</v>
      </c>
      <c r="L249">
        <v>0</v>
      </c>
      <c r="M249">
        <v>250</v>
      </c>
      <c r="N249">
        <v>0</v>
      </c>
      <c r="O249">
        <v>0</v>
      </c>
      <c r="P249" t="s">
        <v>1200</v>
      </c>
      <c r="S249">
        <v>10.199999999999999</v>
      </c>
      <c r="T249">
        <v>250</v>
      </c>
      <c r="U249">
        <v>250</v>
      </c>
    </row>
    <row r="250" spans="1:21">
      <c r="A250">
        <v>44848</v>
      </c>
      <c r="B250" t="s">
        <v>474</v>
      </c>
      <c r="C250" t="s">
        <v>475</v>
      </c>
      <c r="D250" t="s">
        <v>163</v>
      </c>
      <c r="E250" t="s">
        <v>166</v>
      </c>
      <c r="F250" t="s">
        <v>1208</v>
      </c>
      <c r="G250">
        <v>0.36041666666666666</v>
      </c>
      <c r="H250" t="s">
        <v>1199</v>
      </c>
      <c r="I250">
        <v>0.80833333333333335</v>
      </c>
      <c r="J250">
        <v>5130</v>
      </c>
      <c r="K250">
        <v>0</v>
      </c>
      <c r="L250">
        <v>0</v>
      </c>
      <c r="M250">
        <v>250</v>
      </c>
      <c r="N250">
        <v>0</v>
      </c>
      <c r="O250">
        <v>0</v>
      </c>
      <c r="P250" t="s">
        <v>1200</v>
      </c>
      <c r="S250">
        <v>10.75</v>
      </c>
      <c r="T250">
        <v>250</v>
      </c>
      <c r="U250">
        <v>5380</v>
      </c>
    </row>
    <row r="251" spans="1:21">
      <c r="A251">
        <v>44849</v>
      </c>
      <c r="B251" t="s">
        <v>474</v>
      </c>
      <c r="C251" t="s">
        <v>475</v>
      </c>
      <c r="D251" t="s">
        <v>163</v>
      </c>
      <c r="E251" t="s">
        <v>166</v>
      </c>
      <c r="F251" t="s">
        <v>1199</v>
      </c>
      <c r="G251">
        <v>0.29791666666666666</v>
      </c>
      <c r="H251" t="s">
        <v>1209</v>
      </c>
      <c r="I251">
        <v>0.77500000000000002</v>
      </c>
      <c r="J251">
        <v>510</v>
      </c>
      <c r="K251">
        <v>0</v>
      </c>
      <c r="L251">
        <v>0</v>
      </c>
      <c r="M251">
        <v>250</v>
      </c>
      <c r="N251">
        <v>0</v>
      </c>
      <c r="O251">
        <v>0</v>
      </c>
      <c r="P251" t="s">
        <v>1200</v>
      </c>
      <c r="S251">
        <v>11.450000000000001</v>
      </c>
      <c r="T251">
        <v>250</v>
      </c>
      <c r="U251">
        <v>760</v>
      </c>
    </row>
    <row r="252" spans="1:21">
      <c r="A252">
        <v>44841</v>
      </c>
      <c r="B252" t="s">
        <v>47</v>
      </c>
      <c r="C252" t="s">
        <v>48</v>
      </c>
      <c r="D252" t="s">
        <v>163</v>
      </c>
      <c r="E252" t="s">
        <v>1210</v>
      </c>
      <c r="F252" t="s">
        <v>1211</v>
      </c>
      <c r="G252">
        <v>0.38611111111111113</v>
      </c>
      <c r="H252" t="s">
        <v>1211</v>
      </c>
      <c r="I252">
        <v>0.38611111111111113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 t="s">
        <v>195</v>
      </c>
      <c r="S252">
        <v>0</v>
      </c>
      <c r="U252">
        <v>0</v>
      </c>
    </row>
    <row r="253" spans="1:21">
      <c r="A253">
        <v>44842</v>
      </c>
      <c r="B253" t="s">
        <v>47</v>
      </c>
      <c r="C253" t="s">
        <v>48</v>
      </c>
      <c r="D253" t="s">
        <v>163</v>
      </c>
      <c r="E253" t="s">
        <v>1210</v>
      </c>
      <c r="F253" t="s">
        <v>1212</v>
      </c>
      <c r="G253">
        <v>0.45208333333333334</v>
      </c>
      <c r="H253" t="s">
        <v>1213</v>
      </c>
      <c r="I253">
        <v>0.35694444444444445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 t="s">
        <v>195</v>
      </c>
      <c r="S253">
        <v>21.716666666666669</v>
      </c>
      <c r="U253">
        <v>0</v>
      </c>
    </row>
    <row r="254" spans="1:21">
      <c r="A254">
        <v>44844</v>
      </c>
      <c r="B254" t="s">
        <v>47</v>
      </c>
      <c r="C254" t="s">
        <v>48</v>
      </c>
      <c r="D254" t="s">
        <v>163</v>
      </c>
      <c r="E254" t="s">
        <v>1210</v>
      </c>
      <c r="F254" t="s">
        <v>1213</v>
      </c>
      <c r="G254">
        <v>0.35694444444444445</v>
      </c>
      <c r="H254" t="s">
        <v>1213</v>
      </c>
      <c r="I254">
        <v>0.47638888888888886</v>
      </c>
      <c r="J254">
        <v>1550</v>
      </c>
      <c r="K254">
        <v>0</v>
      </c>
      <c r="L254">
        <v>0</v>
      </c>
      <c r="M254">
        <v>0</v>
      </c>
      <c r="N254">
        <v>0</v>
      </c>
      <c r="O254">
        <v>0</v>
      </c>
      <c r="P254" t="s">
        <v>195</v>
      </c>
      <c r="S254">
        <v>2.8666666666666658</v>
      </c>
      <c r="U254">
        <v>1550</v>
      </c>
    </row>
    <row r="255" spans="1:21">
      <c r="A255">
        <v>44845</v>
      </c>
      <c r="B255" t="s">
        <v>47</v>
      </c>
      <c r="C255" t="s">
        <v>48</v>
      </c>
      <c r="D255" t="s">
        <v>163</v>
      </c>
      <c r="E255" t="s">
        <v>1210</v>
      </c>
      <c r="F255" t="s">
        <v>1213</v>
      </c>
      <c r="G255">
        <v>0.47638888888888886</v>
      </c>
      <c r="H255" t="s">
        <v>1214</v>
      </c>
      <c r="I255">
        <v>0.47361111111111109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 t="s">
        <v>195</v>
      </c>
      <c r="S255">
        <v>23.933333333333334</v>
      </c>
      <c r="U255">
        <v>0</v>
      </c>
    </row>
    <row r="256" spans="1:21">
      <c r="A256">
        <v>44847</v>
      </c>
      <c r="B256" t="s">
        <v>47</v>
      </c>
      <c r="C256" t="s">
        <v>48</v>
      </c>
      <c r="D256" t="s">
        <v>163</v>
      </c>
      <c r="E256" t="s">
        <v>1210</v>
      </c>
      <c r="F256" t="s">
        <v>1215</v>
      </c>
      <c r="G256">
        <v>0.5229166666666667</v>
      </c>
      <c r="H256" t="s">
        <v>1216</v>
      </c>
      <c r="I256">
        <v>0.57291666666666663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 t="s">
        <v>195</v>
      </c>
      <c r="S256">
        <v>1.1999999999999984</v>
      </c>
      <c r="U256">
        <v>0</v>
      </c>
    </row>
    <row r="257" spans="1:21">
      <c r="A257">
        <v>44849</v>
      </c>
      <c r="B257" t="s">
        <v>47</v>
      </c>
      <c r="C257" t="s">
        <v>48</v>
      </c>
      <c r="D257" t="s">
        <v>163</v>
      </c>
      <c r="E257" t="s">
        <v>1210</v>
      </c>
      <c r="F257" t="s">
        <v>1212</v>
      </c>
      <c r="G257">
        <v>0.38263888888888886</v>
      </c>
      <c r="H257" t="s">
        <v>1212</v>
      </c>
      <c r="I257">
        <v>0.9506944444444444</v>
      </c>
      <c r="J257">
        <v>1050</v>
      </c>
      <c r="K257">
        <v>0</v>
      </c>
      <c r="L257">
        <v>0</v>
      </c>
      <c r="M257">
        <v>250</v>
      </c>
      <c r="N257">
        <v>0</v>
      </c>
      <c r="O257">
        <v>0</v>
      </c>
      <c r="P257" t="s">
        <v>195</v>
      </c>
      <c r="S257">
        <v>13.633333333333333</v>
      </c>
      <c r="U257">
        <v>1050</v>
      </c>
    </row>
    <row r="258" spans="1:21">
      <c r="A258">
        <v>44835</v>
      </c>
      <c r="B258" t="s">
        <v>490</v>
      </c>
      <c r="C258" t="s">
        <v>491</v>
      </c>
      <c r="D258" t="s">
        <v>163</v>
      </c>
      <c r="E258" t="s">
        <v>167</v>
      </c>
      <c r="F258" t="s">
        <v>1217</v>
      </c>
      <c r="G258">
        <v>0.3</v>
      </c>
      <c r="H258" t="s">
        <v>1217</v>
      </c>
      <c r="I258">
        <v>0.96180555555555558</v>
      </c>
      <c r="J258">
        <v>0</v>
      </c>
      <c r="K258">
        <v>0</v>
      </c>
      <c r="L258">
        <v>0</v>
      </c>
      <c r="M258">
        <v>200</v>
      </c>
      <c r="N258">
        <v>0</v>
      </c>
      <c r="O258">
        <v>0</v>
      </c>
      <c r="P258" t="s">
        <v>1218</v>
      </c>
      <c r="S258">
        <v>15.883333333333333</v>
      </c>
      <c r="T258">
        <v>200</v>
      </c>
      <c r="U258">
        <v>200</v>
      </c>
    </row>
    <row r="259" spans="1:21">
      <c r="A259">
        <v>44837</v>
      </c>
      <c r="B259" t="s">
        <v>490</v>
      </c>
      <c r="C259" t="s">
        <v>491</v>
      </c>
      <c r="D259" t="s">
        <v>163</v>
      </c>
      <c r="E259" t="s">
        <v>167</v>
      </c>
      <c r="F259" t="s">
        <v>1219</v>
      </c>
      <c r="G259">
        <v>0.18541666666666667</v>
      </c>
      <c r="H259" t="s">
        <v>1220</v>
      </c>
      <c r="I259">
        <v>0.92361111111111116</v>
      </c>
      <c r="J259">
        <v>380</v>
      </c>
      <c r="K259">
        <v>0</v>
      </c>
      <c r="L259">
        <v>0</v>
      </c>
      <c r="M259">
        <v>200</v>
      </c>
      <c r="N259">
        <v>0</v>
      </c>
      <c r="O259">
        <v>0</v>
      </c>
      <c r="P259" t="s">
        <v>1218</v>
      </c>
      <c r="S259">
        <v>17.716666666666665</v>
      </c>
      <c r="T259">
        <v>200</v>
      </c>
      <c r="U259">
        <v>580</v>
      </c>
    </row>
    <row r="260" spans="1:21">
      <c r="A260">
        <v>44838</v>
      </c>
      <c r="B260" t="s">
        <v>490</v>
      </c>
      <c r="C260" t="s">
        <v>491</v>
      </c>
      <c r="D260" t="s">
        <v>163</v>
      </c>
      <c r="E260" t="s">
        <v>167</v>
      </c>
      <c r="F260" t="s">
        <v>1221</v>
      </c>
      <c r="G260">
        <v>0.30416666666666664</v>
      </c>
      <c r="H260" t="s">
        <v>1222</v>
      </c>
      <c r="I260">
        <v>0.97777777777777775</v>
      </c>
      <c r="J260">
        <v>500</v>
      </c>
      <c r="K260">
        <v>0</v>
      </c>
      <c r="L260">
        <v>0</v>
      </c>
      <c r="M260">
        <v>200</v>
      </c>
      <c r="N260">
        <v>0</v>
      </c>
      <c r="O260">
        <v>0</v>
      </c>
      <c r="P260" t="s">
        <v>1218</v>
      </c>
      <c r="S260">
        <v>16.166666666666668</v>
      </c>
      <c r="T260">
        <v>200</v>
      </c>
      <c r="U260">
        <v>700</v>
      </c>
    </row>
    <row r="261" spans="1:21">
      <c r="A261">
        <v>44840</v>
      </c>
      <c r="B261" t="s">
        <v>490</v>
      </c>
      <c r="C261" t="s">
        <v>491</v>
      </c>
      <c r="D261" t="s">
        <v>163</v>
      </c>
      <c r="E261" t="s">
        <v>167</v>
      </c>
      <c r="F261" t="s">
        <v>1221</v>
      </c>
      <c r="G261">
        <v>0.33124999999999999</v>
      </c>
      <c r="H261" t="s">
        <v>1223</v>
      </c>
      <c r="I261">
        <v>0.87847222222222221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 t="s">
        <v>1218</v>
      </c>
      <c r="S261">
        <v>13.133333333333335</v>
      </c>
      <c r="T261">
        <v>200</v>
      </c>
      <c r="U261">
        <v>200</v>
      </c>
    </row>
    <row r="262" spans="1:21">
      <c r="A262">
        <v>44842</v>
      </c>
      <c r="B262" t="s">
        <v>490</v>
      </c>
      <c r="C262" t="s">
        <v>491</v>
      </c>
      <c r="D262" t="s">
        <v>163</v>
      </c>
      <c r="E262" t="s">
        <v>167</v>
      </c>
      <c r="F262" t="s">
        <v>1224</v>
      </c>
      <c r="G262">
        <v>0.13472222222222222</v>
      </c>
      <c r="H262" t="s">
        <v>1225</v>
      </c>
      <c r="I262">
        <v>2.7083333333333334E-2</v>
      </c>
      <c r="J262">
        <v>170</v>
      </c>
      <c r="K262">
        <v>0</v>
      </c>
      <c r="L262">
        <v>0</v>
      </c>
      <c r="M262">
        <v>200</v>
      </c>
      <c r="N262">
        <v>100</v>
      </c>
      <c r="O262">
        <v>0</v>
      </c>
      <c r="P262" t="s">
        <v>1218</v>
      </c>
      <c r="S262">
        <v>21.416666666666668</v>
      </c>
      <c r="T262">
        <v>200</v>
      </c>
      <c r="U262">
        <v>470</v>
      </c>
    </row>
    <row r="263" spans="1:21">
      <c r="A263">
        <v>44844</v>
      </c>
      <c r="B263" t="s">
        <v>490</v>
      </c>
      <c r="C263" t="s">
        <v>491</v>
      </c>
      <c r="D263" t="s">
        <v>163</v>
      </c>
      <c r="E263" t="s">
        <v>167</v>
      </c>
      <c r="F263" t="s">
        <v>1219</v>
      </c>
      <c r="G263">
        <v>0.2013888888888889</v>
      </c>
      <c r="H263" t="s">
        <v>1226</v>
      </c>
      <c r="I263">
        <v>0.93888888888888888</v>
      </c>
      <c r="J263">
        <v>500</v>
      </c>
      <c r="K263">
        <v>0</v>
      </c>
      <c r="L263">
        <v>0</v>
      </c>
      <c r="M263">
        <v>200</v>
      </c>
      <c r="N263">
        <v>0</v>
      </c>
      <c r="O263">
        <v>0</v>
      </c>
      <c r="P263" t="s">
        <v>1218</v>
      </c>
      <c r="S263">
        <v>17.700000000000003</v>
      </c>
      <c r="T263">
        <v>200</v>
      </c>
      <c r="U263">
        <v>700</v>
      </c>
    </row>
    <row r="264" spans="1:21">
      <c r="A264">
        <v>44845</v>
      </c>
      <c r="B264" t="s">
        <v>490</v>
      </c>
      <c r="C264" t="s">
        <v>491</v>
      </c>
      <c r="D264" t="s">
        <v>163</v>
      </c>
      <c r="E264" t="s">
        <v>167</v>
      </c>
      <c r="F264" t="s">
        <v>1227</v>
      </c>
      <c r="G264">
        <v>0.38263888888888886</v>
      </c>
      <c r="H264" t="s">
        <v>1223</v>
      </c>
      <c r="I264">
        <v>0.91111111111111109</v>
      </c>
      <c r="J264">
        <v>0</v>
      </c>
      <c r="K264">
        <v>0</v>
      </c>
      <c r="L264">
        <v>0</v>
      </c>
      <c r="M264">
        <v>0</v>
      </c>
      <c r="N264">
        <v>120</v>
      </c>
      <c r="O264">
        <v>0</v>
      </c>
      <c r="P264" t="s">
        <v>1218</v>
      </c>
      <c r="S264">
        <v>12.683333333333334</v>
      </c>
      <c r="T264">
        <v>200</v>
      </c>
      <c r="U264">
        <v>320</v>
      </c>
    </row>
    <row r="265" spans="1:21">
      <c r="A265">
        <v>44846</v>
      </c>
      <c r="B265" t="s">
        <v>490</v>
      </c>
      <c r="C265" t="s">
        <v>491</v>
      </c>
      <c r="D265" t="s">
        <v>163</v>
      </c>
      <c r="E265" t="s">
        <v>167</v>
      </c>
      <c r="F265" t="s">
        <v>1221</v>
      </c>
      <c r="G265">
        <v>0.2298611111111111</v>
      </c>
      <c r="H265" t="s">
        <v>1227</v>
      </c>
      <c r="I265">
        <v>0.91805555555555551</v>
      </c>
      <c r="J265">
        <v>0</v>
      </c>
      <c r="K265">
        <v>0</v>
      </c>
      <c r="L265">
        <v>0</v>
      </c>
      <c r="M265">
        <v>200</v>
      </c>
      <c r="N265">
        <v>0</v>
      </c>
      <c r="O265">
        <v>0</v>
      </c>
      <c r="P265" t="s">
        <v>1218</v>
      </c>
      <c r="S265">
        <v>16.516666666666666</v>
      </c>
      <c r="T265">
        <v>200</v>
      </c>
      <c r="U265">
        <v>200</v>
      </c>
    </row>
    <row r="266" spans="1:21">
      <c r="A266">
        <v>44847</v>
      </c>
      <c r="B266" t="s">
        <v>490</v>
      </c>
      <c r="C266" t="s">
        <v>491</v>
      </c>
      <c r="D266" t="s">
        <v>163</v>
      </c>
      <c r="E266" t="s">
        <v>167</v>
      </c>
      <c r="F266" t="s">
        <v>1221</v>
      </c>
      <c r="G266">
        <v>0.35069444444444442</v>
      </c>
      <c r="H266" t="s">
        <v>1223</v>
      </c>
      <c r="I266">
        <v>0.91249999999999998</v>
      </c>
      <c r="J266">
        <v>900</v>
      </c>
      <c r="K266">
        <v>0</v>
      </c>
      <c r="L266">
        <v>0</v>
      </c>
      <c r="M266">
        <v>200</v>
      </c>
      <c r="N266">
        <v>0</v>
      </c>
      <c r="O266">
        <v>0</v>
      </c>
      <c r="P266" t="s">
        <v>1218</v>
      </c>
      <c r="S266">
        <v>13.483333333333334</v>
      </c>
      <c r="T266">
        <v>200</v>
      </c>
      <c r="U266">
        <v>1100</v>
      </c>
    </row>
    <row r="267" spans="1:21">
      <c r="A267">
        <v>44848</v>
      </c>
      <c r="B267" t="s">
        <v>490</v>
      </c>
      <c r="C267" t="s">
        <v>491</v>
      </c>
      <c r="D267" t="s">
        <v>163</v>
      </c>
      <c r="E267" t="s">
        <v>167</v>
      </c>
      <c r="F267" t="s">
        <v>178</v>
      </c>
      <c r="G267">
        <v>0.3347222222222222</v>
      </c>
      <c r="H267" t="s">
        <v>1223</v>
      </c>
      <c r="I267">
        <v>0.88402777777777775</v>
      </c>
      <c r="J267">
        <v>0</v>
      </c>
      <c r="K267">
        <v>0</v>
      </c>
      <c r="L267">
        <v>0</v>
      </c>
      <c r="M267">
        <v>200</v>
      </c>
      <c r="N267">
        <v>0</v>
      </c>
      <c r="O267">
        <v>0</v>
      </c>
      <c r="P267" t="s">
        <v>1218</v>
      </c>
      <c r="S267">
        <v>13.183333333333332</v>
      </c>
      <c r="T267">
        <v>200</v>
      </c>
      <c r="U267">
        <v>200</v>
      </c>
    </row>
    <row r="268" spans="1:21">
      <c r="A268">
        <v>44849</v>
      </c>
      <c r="B268" t="s">
        <v>490</v>
      </c>
      <c r="C268" t="s">
        <v>491</v>
      </c>
      <c r="D268" t="s">
        <v>163</v>
      </c>
      <c r="E268" t="s">
        <v>167</v>
      </c>
      <c r="F268" t="s">
        <v>1228</v>
      </c>
      <c r="G268">
        <v>0.37361111111111112</v>
      </c>
      <c r="H268" t="s">
        <v>1223</v>
      </c>
      <c r="I268">
        <v>0.88402777777777775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350</v>
      </c>
      <c r="P268" t="s">
        <v>1218</v>
      </c>
      <c r="S268">
        <v>12.25</v>
      </c>
      <c r="T268">
        <v>200</v>
      </c>
      <c r="U268">
        <v>550</v>
      </c>
    </row>
    <row r="269" spans="1:21">
      <c r="A269">
        <v>44835</v>
      </c>
      <c r="B269" t="s">
        <v>502</v>
      </c>
      <c r="C269" t="s">
        <v>503</v>
      </c>
      <c r="D269" t="s">
        <v>163</v>
      </c>
      <c r="E269" t="s">
        <v>1229</v>
      </c>
      <c r="F269" t="s">
        <v>1230</v>
      </c>
      <c r="G269">
        <v>0.32916666666666666</v>
      </c>
      <c r="H269" t="s">
        <v>1231</v>
      </c>
      <c r="I269">
        <v>0.87291666666666667</v>
      </c>
      <c r="J269">
        <v>3000</v>
      </c>
      <c r="K269">
        <v>0</v>
      </c>
      <c r="L269">
        <v>250</v>
      </c>
      <c r="M269">
        <v>0</v>
      </c>
      <c r="N269">
        <v>0</v>
      </c>
      <c r="O269">
        <v>0</v>
      </c>
      <c r="P269" t="s">
        <v>1232</v>
      </c>
      <c r="S269">
        <v>13.049999999999999</v>
      </c>
      <c r="U269">
        <v>3250</v>
      </c>
    </row>
    <row r="270" spans="1:21">
      <c r="A270">
        <v>44836</v>
      </c>
      <c r="B270" t="s">
        <v>502</v>
      </c>
      <c r="C270" t="s">
        <v>503</v>
      </c>
      <c r="D270" t="s">
        <v>163</v>
      </c>
      <c r="E270" t="s">
        <v>1229</v>
      </c>
      <c r="F270" t="s">
        <v>1233</v>
      </c>
      <c r="G270">
        <v>0.41111111111111109</v>
      </c>
      <c r="H270" t="s">
        <v>1231</v>
      </c>
      <c r="I270">
        <v>0.45555555555555555</v>
      </c>
      <c r="J270">
        <v>0</v>
      </c>
      <c r="K270">
        <v>0</v>
      </c>
      <c r="L270">
        <v>250</v>
      </c>
      <c r="M270">
        <v>0</v>
      </c>
      <c r="N270">
        <v>0</v>
      </c>
      <c r="O270">
        <v>0</v>
      </c>
      <c r="P270" t="s">
        <v>1232</v>
      </c>
      <c r="S270">
        <v>1.0666666666666669</v>
      </c>
      <c r="U270">
        <v>250</v>
      </c>
    </row>
    <row r="271" spans="1:21">
      <c r="A271">
        <v>44837</v>
      </c>
      <c r="B271" t="s">
        <v>502</v>
      </c>
      <c r="C271" t="s">
        <v>503</v>
      </c>
      <c r="D271" t="s">
        <v>163</v>
      </c>
      <c r="E271" t="s">
        <v>1229</v>
      </c>
      <c r="F271" t="s">
        <v>1231</v>
      </c>
      <c r="G271">
        <v>0.39513888888888887</v>
      </c>
      <c r="H271" t="s">
        <v>1234</v>
      </c>
      <c r="I271">
        <v>0.81736111111111109</v>
      </c>
      <c r="J271">
        <v>0</v>
      </c>
      <c r="K271">
        <v>0</v>
      </c>
      <c r="L271">
        <v>250</v>
      </c>
      <c r="M271">
        <v>0</v>
      </c>
      <c r="N271">
        <v>0</v>
      </c>
      <c r="O271">
        <v>0</v>
      </c>
      <c r="P271" t="s">
        <v>1232</v>
      </c>
      <c r="S271">
        <v>10.133333333333333</v>
      </c>
      <c r="U271">
        <v>250</v>
      </c>
    </row>
    <row r="272" spans="1:21">
      <c r="A272">
        <v>44838</v>
      </c>
      <c r="B272" t="s">
        <v>502</v>
      </c>
      <c r="C272" t="s">
        <v>503</v>
      </c>
      <c r="D272" t="s">
        <v>163</v>
      </c>
      <c r="E272" t="s">
        <v>1229</v>
      </c>
      <c r="F272" t="s">
        <v>1235</v>
      </c>
      <c r="G272">
        <v>0.2638888888888889</v>
      </c>
      <c r="H272" t="s">
        <v>1236</v>
      </c>
      <c r="I272">
        <v>0.8881944444444444</v>
      </c>
      <c r="J272">
        <v>0</v>
      </c>
      <c r="K272">
        <v>0</v>
      </c>
      <c r="L272">
        <v>250</v>
      </c>
      <c r="M272">
        <v>0</v>
      </c>
      <c r="N272">
        <v>0</v>
      </c>
      <c r="O272">
        <v>0</v>
      </c>
      <c r="P272" t="s">
        <v>1232</v>
      </c>
      <c r="S272">
        <v>14.983333333333331</v>
      </c>
      <c r="U272">
        <v>250</v>
      </c>
    </row>
    <row r="273" spans="1:21">
      <c r="A273">
        <v>44839</v>
      </c>
      <c r="B273" t="s">
        <v>502</v>
      </c>
      <c r="C273" t="s">
        <v>503</v>
      </c>
      <c r="D273" t="s">
        <v>163</v>
      </c>
      <c r="E273" t="s">
        <v>1229</v>
      </c>
      <c r="F273" t="s">
        <v>1237</v>
      </c>
      <c r="G273">
        <v>0.31111111111111112</v>
      </c>
      <c r="H273" t="s">
        <v>1238</v>
      </c>
      <c r="I273">
        <v>0.82708333333333328</v>
      </c>
      <c r="J273">
        <v>2000</v>
      </c>
      <c r="K273">
        <v>0</v>
      </c>
      <c r="L273">
        <v>250</v>
      </c>
      <c r="M273">
        <v>0</v>
      </c>
      <c r="N273">
        <v>0</v>
      </c>
      <c r="O273">
        <v>0</v>
      </c>
      <c r="P273" t="s">
        <v>1232</v>
      </c>
      <c r="S273">
        <v>12.383333333333333</v>
      </c>
      <c r="U273">
        <v>2250</v>
      </c>
    </row>
    <row r="274" spans="1:21">
      <c r="A274">
        <v>44840</v>
      </c>
      <c r="B274" t="s">
        <v>502</v>
      </c>
      <c r="C274" t="s">
        <v>503</v>
      </c>
      <c r="D274" t="s">
        <v>163</v>
      </c>
      <c r="E274" t="s">
        <v>1229</v>
      </c>
      <c r="F274" t="s">
        <v>1231</v>
      </c>
      <c r="G274">
        <v>0.33541666666666664</v>
      </c>
      <c r="H274" t="s">
        <v>1236</v>
      </c>
      <c r="I274">
        <v>0.77083333333333337</v>
      </c>
      <c r="J274">
        <v>0</v>
      </c>
      <c r="K274">
        <v>0</v>
      </c>
      <c r="L274">
        <v>250</v>
      </c>
      <c r="M274">
        <v>0</v>
      </c>
      <c r="N274">
        <v>0</v>
      </c>
      <c r="O274">
        <v>0</v>
      </c>
      <c r="P274" t="s">
        <v>1232</v>
      </c>
      <c r="S274">
        <v>10.45</v>
      </c>
      <c r="U274">
        <v>250</v>
      </c>
    </row>
    <row r="275" spans="1:21">
      <c r="A275">
        <v>44841</v>
      </c>
      <c r="B275" t="s">
        <v>502</v>
      </c>
      <c r="C275" t="s">
        <v>503</v>
      </c>
      <c r="D275" t="s">
        <v>163</v>
      </c>
      <c r="E275" t="s">
        <v>1229</v>
      </c>
      <c r="F275" t="s">
        <v>1236</v>
      </c>
      <c r="G275">
        <v>0.32013888888888886</v>
      </c>
      <c r="H275" t="s">
        <v>1239</v>
      </c>
      <c r="I275">
        <v>0.81597222222222221</v>
      </c>
      <c r="J275">
        <v>0</v>
      </c>
      <c r="K275">
        <v>0</v>
      </c>
      <c r="L275">
        <v>250</v>
      </c>
      <c r="M275">
        <v>0</v>
      </c>
      <c r="N275">
        <v>0</v>
      </c>
      <c r="O275">
        <v>0</v>
      </c>
      <c r="P275" t="s">
        <v>1232</v>
      </c>
      <c r="S275">
        <v>11.9</v>
      </c>
      <c r="U275">
        <v>250</v>
      </c>
    </row>
    <row r="276" spans="1:21">
      <c r="A276">
        <v>44842</v>
      </c>
      <c r="B276" t="s">
        <v>502</v>
      </c>
      <c r="C276" t="s">
        <v>503</v>
      </c>
      <c r="D276" t="s">
        <v>163</v>
      </c>
      <c r="E276" t="s">
        <v>1229</v>
      </c>
      <c r="F276" t="s">
        <v>1231</v>
      </c>
      <c r="G276">
        <v>0.3347222222222222</v>
      </c>
      <c r="H276" t="s">
        <v>1240</v>
      </c>
      <c r="I276">
        <v>0.55972222222222223</v>
      </c>
      <c r="J276">
        <v>2500</v>
      </c>
      <c r="K276">
        <v>0</v>
      </c>
      <c r="L276">
        <v>250</v>
      </c>
      <c r="M276">
        <v>0</v>
      </c>
      <c r="N276">
        <v>0</v>
      </c>
      <c r="O276">
        <v>0</v>
      </c>
      <c r="P276" t="s">
        <v>1232</v>
      </c>
      <c r="S276">
        <v>5.4</v>
      </c>
      <c r="U276">
        <v>2750</v>
      </c>
    </row>
    <row r="277" spans="1:21">
      <c r="A277">
        <v>44843</v>
      </c>
      <c r="B277" t="s">
        <v>502</v>
      </c>
      <c r="C277" t="s">
        <v>503</v>
      </c>
      <c r="D277" t="s">
        <v>163</v>
      </c>
      <c r="E277" t="s">
        <v>1229</v>
      </c>
      <c r="F277" t="s">
        <v>1231</v>
      </c>
      <c r="G277">
        <v>0.43541666666666667</v>
      </c>
      <c r="H277" t="s">
        <v>1236</v>
      </c>
      <c r="I277">
        <v>0.41041666666666665</v>
      </c>
      <c r="J277">
        <v>0</v>
      </c>
      <c r="K277">
        <v>0</v>
      </c>
      <c r="L277">
        <v>250</v>
      </c>
      <c r="M277">
        <v>0</v>
      </c>
      <c r="N277">
        <v>0</v>
      </c>
      <c r="O277">
        <v>0</v>
      </c>
      <c r="P277" t="s">
        <v>1232</v>
      </c>
      <c r="S277">
        <v>23.4</v>
      </c>
      <c r="U277">
        <v>250</v>
      </c>
    </row>
    <row r="278" spans="1:21">
      <c r="A278">
        <v>44844</v>
      </c>
      <c r="B278" t="s">
        <v>502</v>
      </c>
      <c r="C278" t="s">
        <v>503</v>
      </c>
      <c r="D278" t="s">
        <v>163</v>
      </c>
      <c r="E278" t="s">
        <v>1229</v>
      </c>
      <c r="F278" t="s">
        <v>1236</v>
      </c>
      <c r="G278">
        <v>0.41041666666666665</v>
      </c>
      <c r="H278" t="s">
        <v>1231</v>
      </c>
      <c r="I278">
        <v>0.80208333333333337</v>
      </c>
      <c r="J278">
        <v>0</v>
      </c>
      <c r="K278">
        <v>0</v>
      </c>
      <c r="L278">
        <v>250</v>
      </c>
      <c r="M278">
        <v>0</v>
      </c>
      <c r="N278">
        <v>0</v>
      </c>
      <c r="O278">
        <v>0</v>
      </c>
      <c r="P278" t="s">
        <v>1232</v>
      </c>
      <c r="S278">
        <v>9.3999999999999986</v>
      </c>
      <c r="U278">
        <v>250</v>
      </c>
    </row>
    <row r="279" spans="1:21">
      <c r="A279">
        <v>44845</v>
      </c>
      <c r="B279" t="s">
        <v>502</v>
      </c>
      <c r="C279" t="s">
        <v>503</v>
      </c>
      <c r="D279" t="s">
        <v>163</v>
      </c>
      <c r="E279" t="s">
        <v>1229</v>
      </c>
      <c r="F279" t="s">
        <v>1231</v>
      </c>
      <c r="G279">
        <v>0.31458333333333333</v>
      </c>
      <c r="H279" t="s">
        <v>1058</v>
      </c>
      <c r="I279">
        <v>0.96666666666666667</v>
      </c>
      <c r="J279">
        <v>170</v>
      </c>
      <c r="K279">
        <v>0</v>
      </c>
      <c r="L279">
        <v>250</v>
      </c>
      <c r="M279">
        <v>0</v>
      </c>
      <c r="N279">
        <v>0</v>
      </c>
      <c r="O279">
        <v>0</v>
      </c>
      <c r="P279" t="s">
        <v>1232</v>
      </c>
      <c r="S279">
        <v>15.65</v>
      </c>
      <c r="U279">
        <v>420</v>
      </c>
    </row>
    <row r="280" spans="1:21">
      <c r="A280">
        <v>44846</v>
      </c>
      <c r="B280" t="s">
        <v>502</v>
      </c>
      <c r="C280" t="s">
        <v>503</v>
      </c>
      <c r="D280" t="s">
        <v>163</v>
      </c>
      <c r="E280" t="s">
        <v>1229</v>
      </c>
      <c r="F280" t="s">
        <v>1178</v>
      </c>
      <c r="G280">
        <v>0.34861111111111109</v>
      </c>
      <c r="H280" t="s">
        <v>1236</v>
      </c>
      <c r="I280">
        <v>0.79791666666666672</v>
      </c>
      <c r="J280">
        <v>240</v>
      </c>
      <c r="K280">
        <v>0</v>
      </c>
      <c r="L280">
        <v>250</v>
      </c>
      <c r="M280">
        <v>0</v>
      </c>
      <c r="N280">
        <v>0</v>
      </c>
      <c r="O280">
        <v>0</v>
      </c>
      <c r="P280" t="s">
        <v>1232</v>
      </c>
      <c r="S280">
        <v>10.783333333333331</v>
      </c>
      <c r="U280">
        <v>490</v>
      </c>
    </row>
    <row r="281" spans="1:21">
      <c r="A281">
        <v>44847</v>
      </c>
      <c r="B281" t="s">
        <v>502</v>
      </c>
      <c r="C281" t="s">
        <v>503</v>
      </c>
      <c r="D281" t="s">
        <v>163</v>
      </c>
      <c r="E281" t="s">
        <v>1229</v>
      </c>
      <c r="F281" t="s">
        <v>1235</v>
      </c>
      <c r="G281">
        <v>0.31666666666666665</v>
      </c>
      <c r="H281" t="s">
        <v>1236</v>
      </c>
      <c r="I281">
        <v>0.84375</v>
      </c>
      <c r="J281">
        <v>0</v>
      </c>
      <c r="K281">
        <v>2635</v>
      </c>
      <c r="L281">
        <v>250</v>
      </c>
      <c r="M281">
        <v>0</v>
      </c>
      <c r="N281">
        <v>430</v>
      </c>
      <c r="O281">
        <v>0</v>
      </c>
      <c r="P281" t="s">
        <v>1232</v>
      </c>
      <c r="S281">
        <v>12.65</v>
      </c>
      <c r="T281">
        <v>0</v>
      </c>
      <c r="U281">
        <v>3315</v>
      </c>
    </row>
    <row r="282" spans="1:21">
      <c r="A282">
        <v>44848</v>
      </c>
      <c r="B282" t="s">
        <v>502</v>
      </c>
      <c r="C282" t="s">
        <v>503</v>
      </c>
      <c r="D282" t="s">
        <v>163</v>
      </c>
      <c r="E282" t="s">
        <v>1229</v>
      </c>
      <c r="F282" t="s">
        <v>1236</v>
      </c>
      <c r="G282">
        <v>0.32291666666666669</v>
      </c>
      <c r="H282" t="s">
        <v>1236</v>
      </c>
      <c r="I282">
        <v>0.82638888888888884</v>
      </c>
      <c r="J282">
        <v>0</v>
      </c>
      <c r="K282">
        <v>0</v>
      </c>
      <c r="L282">
        <v>250</v>
      </c>
      <c r="M282">
        <v>0</v>
      </c>
      <c r="N282">
        <v>0</v>
      </c>
      <c r="O282">
        <v>0</v>
      </c>
      <c r="P282" t="s">
        <v>1232</v>
      </c>
      <c r="S282">
        <v>12.083333333333332</v>
      </c>
      <c r="U282">
        <v>250</v>
      </c>
    </row>
    <row r="283" spans="1:21">
      <c r="A283">
        <v>44849</v>
      </c>
      <c r="B283" t="s">
        <v>502</v>
      </c>
      <c r="C283" t="s">
        <v>503</v>
      </c>
      <c r="D283" t="s">
        <v>163</v>
      </c>
      <c r="E283" t="s">
        <v>1229</v>
      </c>
      <c r="F283" t="s">
        <v>1238</v>
      </c>
      <c r="G283">
        <v>0.3215277777777778</v>
      </c>
      <c r="H283" t="s">
        <v>1236</v>
      </c>
      <c r="I283">
        <v>0.83680555555555558</v>
      </c>
      <c r="J283">
        <v>320</v>
      </c>
      <c r="K283">
        <v>0</v>
      </c>
      <c r="L283">
        <v>250</v>
      </c>
      <c r="M283">
        <v>0</v>
      </c>
      <c r="N283">
        <v>0</v>
      </c>
      <c r="O283">
        <v>0</v>
      </c>
      <c r="P283" t="s">
        <v>1232</v>
      </c>
      <c r="S283">
        <v>12.366666666666665</v>
      </c>
      <c r="U283">
        <v>570</v>
      </c>
    </row>
    <row r="284" spans="1:21">
      <c r="A284">
        <v>44835</v>
      </c>
      <c r="B284" t="s">
        <v>88</v>
      </c>
      <c r="C284" t="s">
        <v>89</v>
      </c>
      <c r="D284" t="s">
        <v>163</v>
      </c>
      <c r="E284" t="s">
        <v>167</v>
      </c>
      <c r="F284" t="s">
        <v>1241</v>
      </c>
      <c r="G284">
        <v>0.40138888888888891</v>
      </c>
      <c r="H284" t="s">
        <v>1241</v>
      </c>
      <c r="I284">
        <v>0.47013888888888888</v>
      </c>
      <c r="J284">
        <v>0</v>
      </c>
      <c r="K284">
        <v>0</v>
      </c>
      <c r="L284">
        <v>0</v>
      </c>
      <c r="M284">
        <v>200</v>
      </c>
      <c r="N284">
        <v>0</v>
      </c>
      <c r="O284">
        <v>0</v>
      </c>
      <c r="P284" t="s">
        <v>196</v>
      </c>
      <c r="S284">
        <v>1.6500000000000008</v>
      </c>
      <c r="T284">
        <v>0</v>
      </c>
      <c r="U284">
        <v>0</v>
      </c>
    </row>
    <row r="285" spans="1:21">
      <c r="A285">
        <v>44837</v>
      </c>
      <c r="B285" t="s">
        <v>88</v>
      </c>
      <c r="C285" t="s">
        <v>89</v>
      </c>
      <c r="D285" t="s">
        <v>163</v>
      </c>
      <c r="E285" t="s">
        <v>167</v>
      </c>
      <c r="F285" t="s">
        <v>1242</v>
      </c>
      <c r="G285">
        <v>0.36736111111111114</v>
      </c>
      <c r="H285" t="s">
        <v>1241</v>
      </c>
      <c r="I285">
        <v>0.47986111111111113</v>
      </c>
      <c r="J285">
        <v>0</v>
      </c>
      <c r="K285">
        <v>0</v>
      </c>
      <c r="L285">
        <v>0</v>
      </c>
      <c r="M285">
        <v>200</v>
      </c>
      <c r="N285">
        <v>0</v>
      </c>
      <c r="O285">
        <v>0</v>
      </c>
      <c r="P285" t="s">
        <v>196</v>
      </c>
      <c r="S285">
        <v>2.6999999999999997</v>
      </c>
      <c r="T285">
        <v>0</v>
      </c>
      <c r="U285">
        <v>0</v>
      </c>
    </row>
    <row r="286" spans="1:21">
      <c r="A286">
        <v>44838</v>
      </c>
      <c r="B286" t="s">
        <v>88</v>
      </c>
      <c r="C286" t="s">
        <v>89</v>
      </c>
      <c r="D286" t="s">
        <v>163</v>
      </c>
      <c r="E286" t="s">
        <v>167</v>
      </c>
      <c r="F286" t="s">
        <v>1241</v>
      </c>
      <c r="G286">
        <v>0.47986111111111113</v>
      </c>
      <c r="H286" t="s">
        <v>1243</v>
      </c>
      <c r="I286">
        <v>0.4236111111111111</v>
      </c>
      <c r="J286">
        <v>0</v>
      </c>
      <c r="K286">
        <v>0</v>
      </c>
      <c r="L286">
        <v>0</v>
      </c>
      <c r="M286">
        <v>200</v>
      </c>
      <c r="N286">
        <v>0</v>
      </c>
      <c r="O286">
        <v>0</v>
      </c>
      <c r="P286" t="s">
        <v>196</v>
      </c>
      <c r="S286">
        <v>22.650000000000002</v>
      </c>
      <c r="T286">
        <v>200</v>
      </c>
      <c r="U286">
        <v>200</v>
      </c>
    </row>
    <row r="287" spans="1:21">
      <c r="A287">
        <v>44840</v>
      </c>
      <c r="B287" t="s">
        <v>88</v>
      </c>
      <c r="C287" t="s">
        <v>89</v>
      </c>
      <c r="D287" t="s">
        <v>163</v>
      </c>
      <c r="E287" t="s">
        <v>167</v>
      </c>
      <c r="F287" t="s">
        <v>1243</v>
      </c>
      <c r="G287">
        <v>0.4236111111111111</v>
      </c>
      <c r="H287" t="s">
        <v>165</v>
      </c>
      <c r="I287">
        <v>0.27500000000000002</v>
      </c>
      <c r="J287">
        <v>0</v>
      </c>
      <c r="K287">
        <v>0</v>
      </c>
      <c r="L287">
        <v>0</v>
      </c>
      <c r="M287">
        <v>200</v>
      </c>
      <c r="N287">
        <v>0</v>
      </c>
      <c r="O287">
        <v>0</v>
      </c>
      <c r="P287" t="s">
        <v>196</v>
      </c>
      <c r="S287">
        <v>20.433333333333334</v>
      </c>
      <c r="T287">
        <v>200</v>
      </c>
      <c r="U287">
        <v>200</v>
      </c>
    </row>
    <row r="288" spans="1:21">
      <c r="A288">
        <v>44841</v>
      </c>
      <c r="B288" t="s">
        <v>88</v>
      </c>
      <c r="C288" t="s">
        <v>89</v>
      </c>
      <c r="D288" t="s">
        <v>163</v>
      </c>
      <c r="E288" t="s">
        <v>167</v>
      </c>
      <c r="F288" t="s">
        <v>165</v>
      </c>
      <c r="G288">
        <v>0.27500000000000002</v>
      </c>
      <c r="H288" t="s">
        <v>1241</v>
      </c>
      <c r="I288">
        <v>0.28472222222222221</v>
      </c>
      <c r="J288">
        <v>520</v>
      </c>
      <c r="K288">
        <v>0</v>
      </c>
      <c r="L288">
        <v>0</v>
      </c>
      <c r="M288">
        <v>0</v>
      </c>
      <c r="N288">
        <v>0</v>
      </c>
      <c r="O288">
        <v>0</v>
      </c>
      <c r="P288" t="s">
        <v>196</v>
      </c>
      <c r="S288">
        <v>0.23333333333333384</v>
      </c>
      <c r="T288">
        <v>0</v>
      </c>
      <c r="U288">
        <v>520</v>
      </c>
    </row>
    <row r="289" spans="1:21">
      <c r="A289">
        <v>44842</v>
      </c>
      <c r="B289" t="s">
        <v>88</v>
      </c>
      <c r="C289" t="s">
        <v>89</v>
      </c>
      <c r="D289" t="s">
        <v>163</v>
      </c>
      <c r="E289" t="s">
        <v>167</v>
      </c>
      <c r="F289" t="s">
        <v>1241</v>
      </c>
      <c r="G289">
        <v>0.28472222222222221</v>
      </c>
      <c r="H289" t="s">
        <v>1243</v>
      </c>
      <c r="I289">
        <v>0.2590277777777778</v>
      </c>
      <c r="J289">
        <v>0</v>
      </c>
      <c r="K289">
        <v>0</v>
      </c>
      <c r="L289">
        <v>0</v>
      </c>
      <c r="M289">
        <v>200</v>
      </c>
      <c r="N289">
        <v>0</v>
      </c>
      <c r="O289">
        <v>0</v>
      </c>
      <c r="P289" t="s">
        <v>196</v>
      </c>
      <c r="S289">
        <v>23.383333333333333</v>
      </c>
      <c r="T289">
        <v>200</v>
      </c>
      <c r="U289">
        <v>200</v>
      </c>
    </row>
    <row r="290" spans="1:21">
      <c r="A290">
        <v>44843</v>
      </c>
      <c r="B290" t="s">
        <v>88</v>
      </c>
      <c r="C290" t="s">
        <v>89</v>
      </c>
      <c r="D290" t="s">
        <v>163</v>
      </c>
      <c r="E290" t="s">
        <v>167</v>
      </c>
      <c r="F290" t="s">
        <v>1243</v>
      </c>
      <c r="G290">
        <v>0.2590277777777778</v>
      </c>
      <c r="H290" t="s">
        <v>165</v>
      </c>
      <c r="I290">
        <v>0.26180555555555557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 t="s">
        <v>196</v>
      </c>
      <c r="S290">
        <v>6.6666666666667762E-2</v>
      </c>
      <c r="T290">
        <v>0</v>
      </c>
      <c r="U290">
        <v>0</v>
      </c>
    </row>
    <row r="291" spans="1:21">
      <c r="A291">
        <v>44844</v>
      </c>
      <c r="B291" t="s">
        <v>88</v>
      </c>
      <c r="C291" t="s">
        <v>89</v>
      </c>
      <c r="D291" t="s">
        <v>163</v>
      </c>
      <c r="E291" t="s">
        <v>167</v>
      </c>
      <c r="F291" t="s">
        <v>165</v>
      </c>
      <c r="G291">
        <v>0.26180555555555557</v>
      </c>
      <c r="H291" t="s">
        <v>197</v>
      </c>
      <c r="I291">
        <v>0.42916666666666664</v>
      </c>
      <c r="J291">
        <v>0</v>
      </c>
      <c r="K291">
        <v>0</v>
      </c>
      <c r="L291">
        <v>0</v>
      </c>
      <c r="M291">
        <v>200</v>
      </c>
      <c r="N291">
        <v>0</v>
      </c>
      <c r="O291">
        <v>0</v>
      </c>
      <c r="P291" t="s">
        <v>196</v>
      </c>
      <c r="S291">
        <v>4.0166666666666657</v>
      </c>
      <c r="T291">
        <v>100</v>
      </c>
      <c r="U291">
        <v>100</v>
      </c>
    </row>
    <row r="292" spans="1:21">
      <c r="A292">
        <v>44845</v>
      </c>
      <c r="B292" t="s">
        <v>88</v>
      </c>
      <c r="C292" t="s">
        <v>89</v>
      </c>
      <c r="D292" t="s">
        <v>163</v>
      </c>
      <c r="E292" t="s">
        <v>167</v>
      </c>
      <c r="F292" t="s">
        <v>197</v>
      </c>
      <c r="G292">
        <v>0.42916666666666664</v>
      </c>
      <c r="H292" t="s">
        <v>1241</v>
      </c>
      <c r="I292">
        <v>0.38263888888888886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 t="s">
        <v>196</v>
      </c>
      <c r="S292">
        <v>22.883333333333333</v>
      </c>
      <c r="T292">
        <v>200</v>
      </c>
      <c r="U292">
        <v>200</v>
      </c>
    </row>
    <row r="293" spans="1:21">
      <c r="A293">
        <v>44846</v>
      </c>
      <c r="B293" t="s">
        <v>88</v>
      </c>
      <c r="C293" t="s">
        <v>89</v>
      </c>
      <c r="D293" t="s">
        <v>163</v>
      </c>
      <c r="E293" t="s">
        <v>167</v>
      </c>
      <c r="F293" t="s">
        <v>1241</v>
      </c>
      <c r="G293">
        <v>0.38263888888888886</v>
      </c>
      <c r="H293" t="s">
        <v>1241</v>
      </c>
      <c r="I293">
        <v>0.37430555555555556</v>
      </c>
      <c r="J293">
        <v>0</v>
      </c>
      <c r="K293">
        <v>0</v>
      </c>
      <c r="L293">
        <v>0</v>
      </c>
      <c r="M293">
        <v>200</v>
      </c>
      <c r="N293">
        <v>0</v>
      </c>
      <c r="O293">
        <v>0</v>
      </c>
      <c r="P293" t="s">
        <v>196</v>
      </c>
      <c r="S293">
        <v>23.8</v>
      </c>
      <c r="T293">
        <v>200</v>
      </c>
      <c r="U293">
        <v>200</v>
      </c>
    </row>
    <row r="294" spans="1:21">
      <c r="A294">
        <v>44847</v>
      </c>
      <c r="B294" t="s">
        <v>88</v>
      </c>
      <c r="C294" t="s">
        <v>89</v>
      </c>
      <c r="D294" t="s">
        <v>163</v>
      </c>
      <c r="E294" t="s">
        <v>167</v>
      </c>
      <c r="F294" t="s">
        <v>1241</v>
      </c>
      <c r="G294">
        <v>0.375</v>
      </c>
      <c r="H294" t="s">
        <v>1241</v>
      </c>
      <c r="I294">
        <v>0.37430555555555556</v>
      </c>
      <c r="J294">
        <v>760</v>
      </c>
      <c r="K294">
        <v>0</v>
      </c>
      <c r="L294">
        <v>0</v>
      </c>
      <c r="M294">
        <v>200</v>
      </c>
      <c r="N294">
        <v>0</v>
      </c>
      <c r="O294">
        <v>0</v>
      </c>
      <c r="P294" t="s">
        <v>196</v>
      </c>
      <c r="S294">
        <v>23.983333333333334</v>
      </c>
      <c r="T294">
        <v>200</v>
      </c>
      <c r="U294">
        <v>960</v>
      </c>
    </row>
    <row r="295" spans="1:21">
      <c r="A295">
        <v>44848</v>
      </c>
      <c r="B295" t="s">
        <v>88</v>
      </c>
      <c r="C295" t="s">
        <v>89</v>
      </c>
      <c r="D295" t="s">
        <v>163</v>
      </c>
      <c r="E295" t="s">
        <v>167</v>
      </c>
      <c r="F295" t="s">
        <v>1241</v>
      </c>
      <c r="G295">
        <v>0.47013888888888888</v>
      </c>
      <c r="H295" t="s">
        <v>1243</v>
      </c>
      <c r="I295">
        <v>0.34027777777777779</v>
      </c>
      <c r="J295">
        <v>0</v>
      </c>
      <c r="K295">
        <v>0</v>
      </c>
      <c r="L295">
        <v>0</v>
      </c>
      <c r="M295">
        <v>200</v>
      </c>
      <c r="N295">
        <v>0</v>
      </c>
      <c r="O295">
        <v>0</v>
      </c>
      <c r="P295" t="s">
        <v>196</v>
      </c>
      <c r="S295">
        <v>20.883333333333333</v>
      </c>
      <c r="T295">
        <v>200</v>
      </c>
      <c r="U295">
        <v>200</v>
      </c>
    </row>
    <row r="296" spans="1:21">
      <c r="A296">
        <v>44849</v>
      </c>
      <c r="B296" t="s">
        <v>88</v>
      </c>
      <c r="C296" t="s">
        <v>89</v>
      </c>
      <c r="D296" t="s">
        <v>163</v>
      </c>
      <c r="E296" t="s">
        <v>167</v>
      </c>
      <c r="F296" t="s">
        <v>1243</v>
      </c>
      <c r="G296">
        <v>0.34027777777777779</v>
      </c>
      <c r="H296" t="s">
        <v>1241</v>
      </c>
      <c r="I296">
        <v>0.48819444444444443</v>
      </c>
      <c r="J296">
        <v>0</v>
      </c>
      <c r="K296">
        <v>0</v>
      </c>
      <c r="L296">
        <v>0</v>
      </c>
      <c r="M296">
        <v>200</v>
      </c>
      <c r="N296">
        <v>0</v>
      </c>
      <c r="O296">
        <v>0</v>
      </c>
      <c r="P296" t="s">
        <v>196</v>
      </c>
      <c r="S296">
        <v>3.5499999999999994</v>
      </c>
      <c r="T296">
        <v>0</v>
      </c>
      <c r="U296">
        <v>0</v>
      </c>
    </row>
    <row r="297" spans="1:21">
      <c r="A297">
        <v>44835</v>
      </c>
      <c r="B297" t="s">
        <v>61</v>
      </c>
      <c r="C297" t="s">
        <v>62</v>
      </c>
      <c r="D297" t="s">
        <v>163</v>
      </c>
      <c r="E297" t="s">
        <v>194</v>
      </c>
      <c r="F297" t="s">
        <v>1244</v>
      </c>
      <c r="G297">
        <v>0.37361111111111112</v>
      </c>
      <c r="H297" t="s">
        <v>1244</v>
      </c>
      <c r="I297">
        <v>4.8611111111111112E-3</v>
      </c>
      <c r="J297">
        <v>200</v>
      </c>
      <c r="K297">
        <v>0</v>
      </c>
      <c r="L297">
        <v>0</v>
      </c>
      <c r="M297">
        <v>300</v>
      </c>
      <c r="N297">
        <v>0</v>
      </c>
      <c r="O297">
        <v>0</v>
      </c>
      <c r="P297" t="s">
        <v>198</v>
      </c>
      <c r="S297">
        <v>15.149999999999999</v>
      </c>
      <c r="T297">
        <v>300</v>
      </c>
      <c r="U297">
        <v>500</v>
      </c>
    </row>
    <row r="298" spans="1:21">
      <c r="A298">
        <v>44837</v>
      </c>
      <c r="B298" t="s">
        <v>61</v>
      </c>
      <c r="C298" t="s">
        <v>62</v>
      </c>
      <c r="D298" t="s">
        <v>163</v>
      </c>
      <c r="E298" t="s">
        <v>194</v>
      </c>
      <c r="F298" t="s">
        <v>1244</v>
      </c>
      <c r="G298">
        <v>0.38541666666666669</v>
      </c>
      <c r="H298" t="s">
        <v>1244</v>
      </c>
      <c r="I298">
        <v>0.99027777777777781</v>
      </c>
      <c r="J298">
        <v>0</v>
      </c>
      <c r="K298">
        <v>0</v>
      </c>
      <c r="L298">
        <v>0</v>
      </c>
      <c r="M298">
        <v>300</v>
      </c>
      <c r="N298">
        <v>0</v>
      </c>
      <c r="O298">
        <v>0</v>
      </c>
      <c r="P298" t="s">
        <v>198</v>
      </c>
      <c r="S298">
        <v>14.516666666666666</v>
      </c>
      <c r="T298">
        <v>300</v>
      </c>
      <c r="U298">
        <v>300</v>
      </c>
    </row>
    <row r="299" spans="1:21">
      <c r="A299">
        <v>44838</v>
      </c>
      <c r="B299" t="s">
        <v>61</v>
      </c>
      <c r="C299" t="s">
        <v>62</v>
      </c>
      <c r="D299" t="s">
        <v>163</v>
      </c>
      <c r="E299" t="s">
        <v>194</v>
      </c>
      <c r="F299" t="s">
        <v>1244</v>
      </c>
      <c r="G299">
        <v>0.33402777777777776</v>
      </c>
      <c r="H299" t="s">
        <v>1244</v>
      </c>
      <c r="I299">
        <v>0.98541666666666672</v>
      </c>
      <c r="J299">
        <v>200</v>
      </c>
      <c r="K299">
        <v>0</v>
      </c>
      <c r="L299">
        <v>0</v>
      </c>
      <c r="M299">
        <v>300</v>
      </c>
      <c r="N299">
        <v>0</v>
      </c>
      <c r="O299">
        <v>0</v>
      </c>
      <c r="P299" t="s">
        <v>198</v>
      </c>
      <c r="S299">
        <v>15.633333333333331</v>
      </c>
      <c r="T299">
        <v>300</v>
      </c>
      <c r="U299">
        <v>500</v>
      </c>
    </row>
    <row r="300" spans="1:21">
      <c r="A300">
        <v>44840</v>
      </c>
      <c r="B300" t="s">
        <v>61</v>
      </c>
      <c r="C300" t="s">
        <v>62</v>
      </c>
      <c r="D300" t="s">
        <v>163</v>
      </c>
      <c r="E300" t="s">
        <v>194</v>
      </c>
      <c r="F300" t="s">
        <v>1244</v>
      </c>
      <c r="G300">
        <v>0.32013888888888886</v>
      </c>
      <c r="H300" t="s">
        <v>1245</v>
      </c>
      <c r="I300">
        <v>0.99861111111111112</v>
      </c>
      <c r="J300">
        <v>250</v>
      </c>
      <c r="K300">
        <v>0</v>
      </c>
      <c r="L300">
        <v>0</v>
      </c>
      <c r="M300">
        <v>300</v>
      </c>
      <c r="N300">
        <v>0</v>
      </c>
      <c r="O300">
        <v>0</v>
      </c>
      <c r="P300" t="s">
        <v>198</v>
      </c>
      <c r="S300">
        <v>16.283333333333335</v>
      </c>
      <c r="T300">
        <v>300</v>
      </c>
      <c r="U300">
        <v>550</v>
      </c>
    </row>
    <row r="301" spans="1:21">
      <c r="A301">
        <v>44841</v>
      </c>
      <c r="B301" t="s">
        <v>61</v>
      </c>
      <c r="C301" t="s">
        <v>62</v>
      </c>
      <c r="D301" t="s">
        <v>163</v>
      </c>
      <c r="E301" t="s">
        <v>194</v>
      </c>
      <c r="F301" t="s">
        <v>1244</v>
      </c>
      <c r="G301">
        <v>0.39444444444444443</v>
      </c>
      <c r="H301" t="s">
        <v>1246</v>
      </c>
      <c r="I301">
        <v>0.9819444444444444</v>
      </c>
      <c r="J301">
        <v>2300</v>
      </c>
      <c r="K301">
        <v>0</v>
      </c>
      <c r="L301">
        <v>0</v>
      </c>
      <c r="M301">
        <v>300</v>
      </c>
      <c r="N301">
        <v>0</v>
      </c>
      <c r="O301">
        <v>0</v>
      </c>
      <c r="P301" t="s">
        <v>198</v>
      </c>
      <c r="S301">
        <v>14.099999999999998</v>
      </c>
      <c r="T301">
        <v>300</v>
      </c>
      <c r="U301">
        <v>2600</v>
      </c>
    </row>
    <row r="302" spans="1:21">
      <c r="A302">
        <v>44842</v>
      </c>
      <c r="B302" t="s">
        <v>61</v>
      </c>
      <c r="C302" t="s">
        <v>62</v>
      </c>
      <c r="D302" t="s">
        <v>163</v>
      </c>
      <c r="E302" t="s">
        <v>194</v>
      </c>
      <c r="F302" t="s">
        <v>1247</v>
      </c>
      <c r="G302">
        <v>0.36458333333333331</v>
      </c>
      <c r="H302" t="s">
        <v>1245</v>
      </c>
      <c r="I302">
        <v>0.98888888888888893</v>
      </c>
      <c r="J302">
        <v>200</v>
      </c>
      <c r="K302">
        <v>600</v>
      </c>
      <c r="L302">
        <v>0</v>
      </c>
      <c r="M302">
        <v>300</v>
      </c>
      <c r="N302">
        <v>0</v>
      </c>
      <c r="O302">
        <v>0</v>
      </c>
      <c r="P302" t="s">
        <v>198</v>
      </c>
      <c r="S302">
        <v>14.983333333333331</v>
      </c>
      <c r="T302">
        <v>0</v>
      </c>
      <c r="U302">
        <v>800</v>
      </c>
    </row>
    <row r="303" spans="1:21">
      <c r="A303">
        <v>44844</v>
      </c>
      <c r="B303" t="s">
        <v>61</v>
      </c>
      <c r="C303" t="s">
        <v>62</v>
      </c>
      <c r="D303" t="s">
        <v>163</v>
      </c>
      <c r="E303" t="s">
        <v>194</v>
      </c>
      <c r="F303" t="s">
        <v>1248</v>
      </c>
      <c r="G303">
        <v>0.37916666666666665</v>
      </c>
      <c r="H303" t="s">
        <v>1244</v>
      </c>
      <c r="I303">
        <v>0.9555555555555556</v>
      </c>
      <c r="J303">
        <v>280</v>
      </c>
      <c r="K303">
        <v>0</v>
      </c>
      <c r="L303">
        <v>0</v>
      </c>
      <c r="M303">
        <v>300</v>
      </c>
      <c r="N303">
        <v>0</v>
      </c>
      <c r="O303">
        <v>0</v>
      </c>
      <c r="P303" t="s">
        <v>198</v>
      </c>
      <c r="S303">
        <v>13.833333333333332</v>
      </c>
      <c r="T303">
        <v>300</v>
      </c>
      <c r="U303">
        <v>580</v>
      </c>
    </row>
    <row r="304" spans="1:21">
      <c r="A304">
        <v>44845</v>
      </c>
      <c r="B304" t="s">
        <v>61</v>
      </c>
      <c r="C304" t="s">
        <v>62</v>
      </c>
      <c r="D304" t="s">
        <v>163</v>
      </c>
      <c r="E304" t="s">
        <v>194</v>
      </c>
      <c r="F304" t="s">
        <v>1249</v>
      </c>
      <c r="G304">
        <v>0.37638888888888888</v>
      </c>
      <c r="H304" t="s">
        <v>1245</v>
      </c>
      <c r="I304">
        <v>0.96527777777777779</v>
      </c>
      <c r="J304">
        <v>0</v>
      </c>
      <c r="K304">
        <v>0</v>
      </c>
      <c r="L304">
        <v>0</v>
      </c>
      <c r="M304">
        <v>300</v>
      </c>
      <c r="N304">
        <v>0</v>
      </c>
      <c r="O304">
        <v>0</v>
      </c>
      <c r="P304" t="s">
        <v>198</v>
      </c>
      <c r="S304">
        <v>14.133333333333333</v>
      </c>
      <c r="T304">
        <v>300</v>
      </c>
      <c r="U304">
        <v>300</v>
      </c>
    </row>
    <row r="305" spans="1:21">
      <c r="A305">
        <v>44846</v>
      </c>
      <c r="B305" t="s">
        <v>61</v>
      </c>
      <c r="C305" t="s">
        <v>62</v>
      </c>
      <c r="D305" t="s">
        <v>163</v>
      </c>
      <c r="E305" t="s">
        <v>194</v>
      </c>
      <c r="F305" t="s">
        <v>1244</v>
      </c>
      <c r="G305">
        <v>0.33402777777777776</v>
      </c>
      <c r="H305" t="s">
        <v>1245</v>
      </c>
      <c r="I305">
        <v>0.87916666666666665</v>
      </c>
      <c r="J305">
        <v>300</v>
      </c>
      <c r="K305">
        <v>0</v>
      </c>
      <c r="L305">
        <v>0</v>
      </c>
      <c r="M305">
        <v>300</v>
      </c>
      <c r="N305">
        <v>230</v>
      </c>
      <c r="O305">
        <v>0</v>
      </c>
      <c r="P305" t="s">
        <v>198</v>
      </c>
      <c r="S305">
        <v>13.083333333333332</v>
      </c>
      <c r="T305">
        <v>300</v>
      </c>
      <c r="U305">
        <v>830</v>
      </c>
    </row>
    <row r="306" spans="1:21">
      <c r="A306">
        <v>44847</v>
      </c>
      <c r="B306" t="s">
        <v>61</v>
      </c>
      <c r="C306" t="s">
        <v>62</v>
      </c>
      <c r="D306" t="s">
        <v>163</v>
      </c>
      <c r="E306" t="s">
        <v>194</v>
      </c>
      <c r="F306" t="s">
        <v>1244</v>
      </c>
      <c r="G306">
        <v>0.36736111111111114</v>
      </c>
      <c r="H306" t="s">
        <v>1244</v>
      </c>
      <c r="I306">
        <v>0.93263888888888891</v>
      </c>
      <c r="J306">
        <v>220</v>
      </c>
      <c r="K306">
        <v>0</v>
      </c>
      <c r="L306">
        <v>0</v>
      </c>
      <c r="M306">
        <v>300</v>
      </c>
      <c r="N306">
        <v>0</v>
      </c>
      <c r="O306">
        <v>0</v>
      </c>
      <c r="P306" t="s">
        <v>198</v>
      </c>
      <c r="S306">
        <v>13.566666666666666</v>
      </c>
      <c r="T306">
        <v>300</v>
      </c>
      <c r="U306">
        <v>520</v>
      </c>
    </row>
    <row r="307" spans="1:21">
      <c r="A307">
        <v>44848</v>
      </c>
      <c r="B307" t="s">
        <v>61</v>
      </c>
      <c r="C307" t="s">
        <v>62</v>
      </c>
      <c r="D307" t="s">
        <v>163</v>
      </c>
      <c r="E307" t="s">
        <v>194</v>
      </c>
      <c r="F307" t="s">
        <v>1244</v>
      </c>
      <c r="G307">
        <v>0.36458333333333331</v>
      </c>
      <c r="H307" t="s">
        <v>1250</v>
      </c>
      <c r="I307">
        <v>0.95902777777777781</v>
      </c>
      <c r="J307">
        <v>0</v>
      </c>
      <c r="K307">
        <v>0</v>
      </c>
      <c r="L307">
        <v>0</v>
      </c>
      <c r="M307">
        <v>300</v>
      </c>
      <c r="N307">
        <v>0</v>
      </c>
      <c r="O307">
        <v>0</v>
      </c>
      <c r="P307" t="s">
        <v>198</v>
      </c>
      <c r="S307">
        <v>14.266666666666664</v>
      </c>
      <c r="T307">
        <v>300</v>
      </c>
      <c r="U307">
        <v>300</v>
      </c>
    </row>
    <row r="308" spans="1:21">
      <c r="A308">
        <v>44849</v>
      </c>
      <c r="B308" t="s">
        <v>61</v>
      </c>
      <c r="C308" t="s">
        <v>62</v>
      </c>
      <c r="D308" t="s">
        <v>163</v>
      </c>
      <c r="E308" t="s">
        <v>194</v>
      </c>
      <c r="F308" t="s">
        <v>1244</v>
      </c>
      <c r="G308">
        <v>0.3298611111111111</v>
      </c>
      <c r="H308" t="s">
        <v>1245</v>
      </c>
      <c r="I308">
        <v>2.2916666666666665E-2</v>
      </c>
      <c r="J308">
        <v>210</v>
      </c>
      <c r="K308">
        <v>0</v>
      </c>
      <c r="L308">
        <v>0</v>
      </c>
      <c r="M308">
        <v>300</v>
      </c>
      <c r="N308">
        <v>0</v>
      </c>
      <c r="O308">
        <v>0</v>
      </c>
      <c r="P308" t="s">
        <v>198</v>
      </c>
      <c r="S308">
        <v>16.633333333333333</v>
      </c>
      <c r="T308">
        <v>300</v>
      </c>
      <c r="U308">
        <v>510</v>
      </c>
    </row>
    <row r="309" spans="1:21">
      <c r="A309">
        <v>44835</v>
      </c>
      <c r="B309" t="s">
        <v>541</v>
      </c>
      <c r="C309" t="s">
        <v>542</v>
      </c>
      <c r="D309" t="s">
        <v>227</v>
      </c>
      <c r="E309" t="s">
        <v>168</v>
      </c>
      <c r="F309" t="s">
        <v>1251</v>
      </c>
      <c r="G309">
        <v>0.37430555555555556</v>
      </c>
      <c r="H309" t="s">
        <v>1251</v>
      </c>
      <c r="I309">
        <v>0.83819444444444446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 t="s">
        <v>1252</v>
      </c>
      <c r="S309">
        <v>11.133333333333333</v>
      </c>
      <c r="T309">
        <v>250</v>
      </c>
      <c r="U309">
        <v>250</v>
      </c>
    </row>
    <row r="310" spans="1:21">
      <c r="A310">
        <v>44837</v>
      </c>
      <c r="B310" t="s">
        <v>541</v>
      </c>
      <c r="C310" t="s">
        <v>542</v>
      </c>
      <c r="D310" t="s">
        <v>227</v>
      </c>
      <c r="E310" t="s">
        <v>168</v>
      </c>
      <c r="F310" t="s">
        <v>1251</v>
      </c>
      <c r="G310">
        <v>0.37430555555555556</v>
      </c>
      <c r="H310" t="s">
        <v>1253</v>
      </c>
      <c r="I310">
        <v>0.88749999999999996</v>
      </c>
      <c r="J310">
        <v>0</v>
      </c>
      <c r="K310">
        <v>0</v>
      </c>
      <c r="L310">
        <v>0</v>
      </c>
      <c r="M310">
        <v>250</v>
      </c>
      <c r="N310">
        <v>0</v>
      </c>
      <c r="O310">
        <v>0</v>
      </c>
      <c r="P310" t="s">
        <v>1252</v>
      </c>
      <c r="S310">
        <v>12.316666666666666</v>
      </c>
      <c r="T310">
        <v>250</v>
      </c>
      <c r="U310">
        <v>250</v>
      </c>
    </row>
    <row r="311" spans="1:21">
      <c r="A311">
        <v>44838</v>
      </c>
      <c r="B311" t="s">
        <v>541</v>
      </c>
      <c r="C311" t="s">
        <v>542</v>
      </c>
      <c r="D311" t="s">
        <v>227</v>
      </c>
      <c r="E311" t="s">
        <v>168</v>
      </c>
      <c r="F311" t="s">
        <v>1254</v>
      </c>
      <c r="G311">
        <v>0.37291666666666667</v>
      </c>
      <c r="H311" t="s">
        <v>1251</v>
      </c>
      <c r="I311">
        <v>0.83194444444444449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 t="s">
        <v>1252</v>
      </c>
      <c r="S311">
        <v>11.016666666666666</v>
      </c>
      <c r="T311">
        <v>250</v>
      </c>
      <c r="U311">
        <v>250</v>
      </c>
    </row>
    <row r="312" spans="1:21">
      <c r="A312">
        <v>44840</v>
      </c>
      <c r="B312" t="s">
        <v>541</v>
      </c>
      <c r="C312" t="s">
        <v>542</v>
      </c>
      <c r="D312" t="s">
        <v>227</v>
      </c>
      <c r="E312" t="s">
        <v>168</v>
      </c>
      <c r="F312" t="s">
        <v>1251</v>
      </c>
      <c r="G312">
        <v>0.3659722222222222</v>
      </c>
      <c r="H312" t="s">
        <v>1255</v>
      </c>
      <c r="I312">
        <v>0.91666666666666663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 t="s">
        <v>1252</v>
      </c>
      <c r="S312">
        <v>13.216666666666665</v>
      </c>
      <c r="T312">
        <v>250</v>
      </c>
      <c r="U312">
        <v>250</v>
      </c>
    </row>
    <row r="313" spans="1:21">
      <c r="A313">
        <v>44841</v>
      </c>
      <c r="B313" t="s">
        <v>541</v>
      </c>
      <c r="C313" t="s">
        <v>542</v>
      </c>
      <c r="D313" t="s">
        <v>227</v>
      </c>
      <c r="E313" t="s">
        <v>168</v>
      </c>
      <c r="F313" t="s">
        <v>1251</v>
      </c>
      <c r="G313">
        <v>0.38055555555555554</v>
      </c>
      <c r="H313" t="s">
        <v>1251</v>
      </c>
      <c r="I313">
        <v>0.90416666666666667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 t="s">
        <v>1252</v>
      </c>
      <c r="S313">
        <v>12.566666666666666</v>
      </c>
      <c r="T313">
        <v>250</v>
      </c>
      <c r="U313">
        <v>250</v>
      </c>
    </row>
    <row r="314" spans="1:21">
      <c r="A314">
        <v>44842</v>
      </c>
      <c r="B314" t="s">
        <v>541</v>
      </c>
      <c r="C314" t="s">
        <v>542</v>
      </c>
      <c r="D314" t="s">
        <v>227</v>
      </c>
      <c r="E314" t="s">
        <v>168</v>
      </c>
      <c r="F314" t="s">
        <v>1256</v>
      </c>
      <c r="G314">
        <v>0.37222222222222223</v>
      </c>
      <c r="H314" t="s">
        <v>1257</v>
      </c>
      <c r="I314">
        <v>0.89166666666666672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 t="s">
        <v>1252</v>
      </c>
      <c r="S314">
        <v>12.466666666666665</v>
      </c>
      <c r="T314">
        <v>250</v>
      </c>
      <c r="U314">
        <v>250</v>
      </c>
    </row>
    <row r="315" spans="1:21">
      <c r="A315">
        <v>44847</v>
      </c>
      <c r="B315" t="s">
        <v>541</v>
      </c>
      <c r="C315" t="s">
        <v>542</v>
      </c>
      <c r="D315" t="s">
        <v>227</v>
      </c>
      <c r="E315" t="s">
        <v>168</v>
      </c>
      <c r="F315" t="s">
        <v>1258</v>
      </c>
      <c r="G315">
        <v>0.3840277777777778</v>
      </c>
      <c r="H315" t="s">
        <v>1251</v>
      </c>
      <c r="I315">
        <v>0.82499999999999996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 t="s">
        <v>1252</v>
      </c>
      <c r="S315">
        <v>10.583333333333332</v>
      </c>
      <c r="T315">
        <v>250</v>
      </c>
      <c r="U315">
        <v>250</v>
      </c>
    </row>
    <row r="316" spans="1:21">
      <c r="A316">
        <v>44848</v>
      </c>
      <c r="B316" t="s">
        <v>541</v>
      </c>
      <c r="C316" t="s">
        <v>542</v>
      </c>
      <c r="D316" t="s">
        <v>227</v>
      </c>
      <c r="E316" t="s">
        <v>168</v>
      </c>
      <c r="F316" t="s">
        <v>1251</v>
      </c>
      <c r="G316">
        <v>0.3576388888888889</v>
      </c>
      <c r="H316" t="s">
        <v>1251</v>
      </c>
      <c r="I316">
        <v>0.94444444444444442</v>
      </c>
      <c r="J316">
        <v>1000</v>
      </c>
      <c r="K316">
        <v>0</v>
      </c>
      <c r="L316">
        <v>0</v>
      </c>
      <c r="M316">
        <v>250</v>
      </c>
      <c r="N316">
        <v>0</v>
      </c>
      <c r="O316">
        <v>0</v>
      </c>
      <c r="P316" t="s">
        <v>1252</v>
      </c>
      <c r="S316">
        <v>14.083333333333334</v>
      </c>
      <c r="T316">
        <v>250</v>
      </c>
      <c r="U316">
        <v>1250</v>
      </c>
    </row>
    <row r="317" spans="1:21">
      <c r="A317">
        <v>44849</v>
      </c>
      <c r="B317" t="s">
        <v>541</v>
      </c>
      <c r="C317" t="s">
        <v>542</v>
      </c>
      <c r="D317" t="s">
        <v>227</v>
      </c>
      <c r="E317" t="s">
        <v>168</v>
      </c>
      <c r="F317" t="s">
        <v>1259</v>
      </c>
      <c r="G317">
        <v>0.36180555555555555</v>
      </c>
      <c r="H317" t="s">
        <v>1251</v>
      </c>
      <c r="I317">
        <v>0.84305555555555556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 t="s">
        <v>1252</v>
      </c>
      <c r="S317">
        <v>11.55</v>
      </c>
      <c r="T317">
        <v>250</v>
      </c>
      <c r="U317">
        <v>250</v>
      </c>
    </row>
    <row r="318" spans="1:21">
      <c r="A318">
        <v>44835</v>
      </c>
      <c r="B318" t="s">
        <v>546</v>
      </c>
      <c r="C318" t="s">
        <v>547</v>
      </c>
      <c r="D318" t="s">
        <v>163</v>
      </c>
      <c r="E318" t="s">
        <v>171</v>
      </c>
      <c r="F318" t="s">
        <v>1260</v>
      </c>
      <c r="G318">
        <v>0.43611111111111112</v>
      </c>
      <c r="H318" t="s">
        <v>1260</v>
      </c>
      <c r="I318">
        <v>0.86944444444444446</v>
      </c>
      <c r="J318">
        <v>0</v>
      </c>
      <c r="K318">
        <v>0</v>
      </c>
      <c r="L318">
        <v>0</v>
      </c>
      <c r="M318">
        <v>100</v>
      </c>
      <c r="N318">
        <v>0</v>
      </c>
      <c r="O318">
        <v>0</v>
      </c>
      <c r="P318" t="s">
        <v>1261</v>
      </c>
      <c r="S318">
        <v>10.4</v>
      </c>
      <c r="T318">
        <v>125</v>
      </c>
      <c r="U318">
        <v>125</v>
      </c>
    </row>
    <row r="319" spans="1:21">
      <c r="A319">
        <v>44837</v>
      </c>
      <c r="B319" t="s">
        <v>546</v>
      </c>
      <c r="C319" t="s">
        <v>547</v>
      </c>
      <c r="D319" t="s">
        <v>163</v>
      </c>
      <c r="E319" t="s">
        <v>171</v>
      </c>
      <c r="F319" t="s">
        <v>1262</v>
      </c>
      <c r="G319">
        <v>0.37361111111111112</v>
      </c>
      <c r="H319" t="s">
        <v>1263</v>
      </c>
      <c r="I319">
        <v>0.8569444444444444</v>
      </c>
      <c r="J319">
        <v>500</v>
      </c>
      <c r="K319">
        <v>0</v>
      </c>
      <c r="L319">
        <v>0</v>
      </c>
      <c r="M319">
        <v>100</v>
      </c>
      <c r="N319">
        <v>0</v>
      </c>
      <c r="O319">
        <v>0</v>
      </c>
      <c r="P319" t="s">
        <v>1261</v>
      </c>
      <c r="S319">
        <v>11.599999999999998</v>
      </c>
      <c r="T319">
        <v>125</v>
      </c>
      <c r="U319">
        <v>625</v>
      </c>
    </row>
    <row r="320" spans="1:21">
      <c r="A320">
        <v>44838</v>
      </c>
      <c r="B320" t="s">
        <v>546</v>
      </c>
      <c r="C320" t="s">
        <v>547</v>
      </c>
      <c r="D320" t="s">
        <v>163</v>
      </c>
      <c r="E320" t="s">
        <v>171</v>
      </c>
      <c r="F320" t="s">
        <v>1260</v>
      </c>
      <c r="G320">
        <v>0.31319444444444444</v>
      </c>
      <c r="H320" t="s">
        <v>1260</v>
      </c>
      <c r="I320">
        <v>0.80625000000000002</v>
      </c>
      <c r="J320">
        <v>0</v>
      </c>
      <c r="K320">
        <v>0</v>
      </c>
      <c r="L320">
        <v>0</v>
      </c>
      <c r="M320">
        <v>100</v>
      </c>
      <c r="N320">
        <v>0</v>
      </c>
      <c r="O320">
        <v>0</v>
      </c>
      <c r="P320" t="s">
        <v>1261</v>
      </c>
      <c r="S320">
        <v>11.833333333333334</v>
      </c>
      <c r="T320">
        <v>125</v>
      </c>
      <c r="U320">
        <v>125</v>
      </c>
    </row>
    <row r="321" spans="1:21">
      <c r="A321">
        <v>44839</v>
      </c>
      <c r="B321" t="s">
        <v>546</v>
      </c>
      <c r="C321" t="s">
        <v>547</v>
      </c>
      <c r="D321" t="s">
        <v>163</v>
      </c>
      <c r="E321" t="s">
        <v>171</v>
      </c>
      <c r="F321" t="s">
        <v>1260</v>
      </c>
      <c r="G321">
        <v>0.37152777777777779</v>
      </c>
      <c r="H321" t="s">
        <v>1264</v>
      </c>
      <c r="I321">
        <v>0.78055555555555556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 t="s">
        <v>1261</v>
      </c>
      <c r="S321">
        <v>9.8166666666666664</v>
      </c>
      <c r="T321">
        <v>125</v>
      </c>
      <c r="U321">
        <v>125</v>
      </c>
    </row>
    <row r="322" spans="1:21">
      <c r="A322">
        <v>44840</v>
      </c>
      <c r="B322" t="s">
        <v>546</v>
      </c>
      <c r="C322" t="s">
        <v>547</v>
      </c>
      <c r="D322" t="s">
        <v>163</v>
      </c>
      <c r="E322" t="s">
        <v>171</v>
      </c>
      <c r="F322" t="s">
        <v>1263</v>
      </c>
      <c r="G322">
        <v>0.38680555555555557</v>
      </c>
      <c r="H322" t="s">
        <v>1260</v>
      </c>
      <c r="I322">
        <v>0.7729166666666667</v>
      </c>
      <c r="J322">
        <v>500</v>
      </c>
      <c r="K322">
        <v>0</v>
      </c>
      <c r="L322">
        <v>0</v>
      </c>
      <c r="M322">
        <v>100</v>
      </c>
      <c r="N322">
        <v>0</v>
      </c>
      <c r="O322">
        <v>0</v>
      </c>
      <c r="P322" t="s">
        <v>1261</v>
      </c>
      <c r="S322">
        <v>9.2666666666666657</v>
      </c>
      <c r="T322">
        <v>125</v>
      </c>
      <c r="U322">
        <v>625</v>
      </c>
    </row>
    <row r="323" spans="1:21">
      <c r="A323">
        <v>44841</v>
      </c>
      <c r="B323" t="s">
        <v>546</v>
      </c>
      <c r="C323" t="s">
        <v>547</v>
      </c>
      <c r="D323" t="s">
        <v>163</v>
      </c>
      <c r="E323" t="s">
        <v>171</v>
      </c>
      <c r="F323" t="s">
        <v>1264</v>
      </c>
      <c r="G323">
        <v>0.37569444444444444</v>
      </c>
      <c r="H323" t="s">
        <v>1260</v>
      </c>
      <c r="I323">
        <v>0.87708333333333333</v>
      </c>
      <c r="J323">
        <v>0</v>
      </c>
      <c r="K323">
        <v>0</v>
      </c>
      <c r="L323">
        <v>0</v>
      </c>
      <c r="M323">
        <v>0</v>
      </c>
      <c r="N323">
        <v>120</v>
      </c>
      <c r="O323">
        <v>0</v>
      </c>
      <c r="P323" t="s">
        <v>1261</v>
      </c>
      <c r="S323">
        <v>12.033333333333333</v>
      </c>
      <c r="T323">
        <v>125</v>
      </c>
      <c r="U323">
        <v>245</v>
      </c>
    </row>
    <row r="324" spans="1:21">
      <c r="A324">
        <v>44842</v>
      </c>
      <c r="B324" t="s">
        <v>546</v>
      </c>
      <c r="C324" t="s">
        <v>547</v>
      </c>
      <c r="D324" t="s">
        <v>163</v>
      </c>
      <c r="E324" t="s">
        <v>171</v>
      </c>
      <c r="F324" t="s">
        <v>1263</v>
      </c>
      <c r="G324">
        <v>0.37430555555555556</v>
      </c>
      <c r="H324" t="s">
        <v>1260</v>
      </c>
      <c r="I324">
        <v>0.85347222222222219</v>
      </c>
      <c r="J324">
        <v>0</v>
      </c>
      <c r="K324">
        <v>0</v>
      </c>
      <c r="L324">
        <v>0</v>
      </c>
      <c r="M324">
        <v>100</v>
      </c>
      <c r="N324">
        <v>0</v>
      </c>
      <c r="O324">
        <v>0</v>
      </c>
      <c r="P324" t="s">
        <v>1261</v>
      </c>
      <c r="S324">
        <v>11.5</v>
      </c>
      <c r="T324">
        <v>125</v>
      </c>
      <c r="U324">
        <v>125</v>
      </c>
    </row>
    <row r="325" spans="1:21">
      <c r="A325">
        <v>44844</v>
      </c>
      <c r="B325" t="s">
        <v>546</v>
      </c>
      <c r="C325" t="s">
        <v>547</v>
      </c>
      <c r="D325" t="s">
        <v>163</v>
      </c>
      <c r="E325" t="s">
        <v>171</v>
      </c>
      <c r="F325" t="s">
        <v>1260</v>
      </c>
      <c r="G325">
        <v>0.37986111111111109</v>
      </c>
      <c r="H325" t="s">
        <v>1260</v>
      </c>
      <c r="I325">
        <v>0.78611111111111109</v>
      </c>
      <c r="J325">
        <v>0</v>
      </c>
      <c r="K325">
        <v>0</v>
      </c>
      <c r="L325">
        <v>0</v>
      </c>
      <c r="M325">
        <v>100</v>
      </c>
      <c r="N325">
        <v>0</v>
      </c>
      <c r="O325">
        <v>0</v>
      </c>
      <c r="P325" t="s">
        <v>1261</v>
      </c>
      <c r="S325">
        <v>9.75</v>
      </c>
      <c r="T325">
        <v>125</v>
      </c>
      <c r="U325">
        <v>125</v>
      </c>
    </row>
    <row r="326" spans="1:21">
      <c r="A326">
        <v>44845</v>
      </c>
      <c r="B326" t="s">
        <v>546</v>
      </c>
      <c r="C326" t="s">
        <v>547</v>
      </c>
      <c r="D326" t="s">
        <v>163</v>
      </c>
      <c r="E326" t="s">
        <v>171</v>
      </c>
      <c r="F326" t="s">
        <v>1264</v>
      </c>
      <c r="G326">
        <v>0.38333333333333336</v>
      </c>
      <c r="H326" t="s">
        <v>1263</v>
      </c>
      <c r="I326">
        <v>0.84236111111111112</v>
      </c>
      <c r="J326">
        <v>600</v>
      </c>
      <c r="K326">
        <v>0</v>
      </c>
      <c r="L326">
        <v>0</v>
      </c>
      <c r="M326">
        <v>100</v>
      </c>
      <c r="N326">
        <v>0</v>
      </c>
      <c r="O326">
        <v>0</v>
      </c>
      <c r="P326" t="s">
        <v>1261</v>
      </c>
      <c r="S326">
        <v>11.016666666666667</v>
      </c>
      <c r="T326">
        <v>125</v>
      </c>
      <c r="U326">
        <v>725</v>
      </c>
    </row>
    <row r="327" spans="1:21">
      <c r="A327">
        <v>44846</v>
      </c>
      <c r="B327" t="s">
        <v>546</v>
      </c>
      <c r="C327" t="s">
        <v>547</v>
      </c>
      <c r="D327" t="s">
        <v>163</v>
      </c>
      <c r="E327" t="s">
        <v>171</v>
      </c>
      <c r="F327" t="s">
        <v>1264</v>
      </c>
      <c r="G327">
        <v>0.40902777777777777</v>
      </c>
      <c r="H327" t="s">
        <v>1260</v>
      </c>
      <c r="I327">
        <v>0.87430555555555556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 t="s">
        <v>1261</v>
      </c>
      <c r="S327">
        <v>11.166666666666668</v>
      </c>
      <c r="T327">
        <v>125</v>
      </c>
      <c r="U327">
        <v>125</v>
      </c>
    </row>
    <row r="328" spans="1:21">
      <c r="A328">
        <v>44847</v>
      </c>
      <c r="B328" t="s">
        <v>546</v>
      </c>
      <c r="C328" t="s">
        <v>547</v>
      </c>
      <c r="D328" t="s">
        <v>163</v>
      </c>
      <c r="E328" t="s">
        <v>171</v>
      </c>
      <c r="F328" t="s">
        <v>1264</v>
      </c>
      <c r="G328">
        <v>0.38333333333333336</v>
      </c>
      <c r="H328" t="s">
        <v>1260</v>
      </c>
      <c r="I328">
        <v>0.86458333333333337</v>
      </c>
      <c r="J328">
        <v>0</v>
      </c>
      <c r="K328">
        <v>0</v>
      </c>
      <c r="L328">
        <v>0</v>
      </c>
      <c r="M328">
        <v>100</v>
      </c>
      <c r="N328">
        <v>320</v>
      </c>
      <c r="O328">
        <v>0</v>
      </c>
      <c r="P328" t="s">
        <v>1261</v>
      </c>
      <c r="S328">
        <v>11.549999999999999</v>
      </c>
      <c r="T328">
        <v>125</v>
      </c>
      <c r="U328">
        <v>445</v>
      </c>
    </row>
    <row r="329" spans="1:21">
      <c r="A329">
        <v>44848</v>
      </c>
      <c r="B329" t="s">
        <v>546</v>
      </c>
      <c r="C329" t="s">
        <v>547</v>
      </c>
      <c r="D329" t="s">
        <v>163</v>
      </c>
      <c r="E329" t="s">
        <v>171</v>
      </c>
      <c r="F329" t="s">
        <v>1260</v>
      </c>
      <c r="G329">
        <v>0.4201388888888889</v>
      </c>
      <c r="H329" t="s">
        <v>1260</v>
      </c>
      <c r="I329">
        <v>0.77430555555555558</v>
      </c>
      <c r="J329">
        <v>0</v>
      </c>
      <c r="K329">
        <v>0</v>
      </c>
      <c r="L329">
        <v>0</v>
      </c>
      <c r="M329">
        <v>100</v>
      </c>
      <c r="N329">
        <v>0</v>
      </c>
      <c r="O329">
        <v>0</v>
      </c>
      <c r="P329" t="s">
        <v>1261</v>
      </c>
      <c r="S329">
        <v>8.4999999999999982</v>
      </c>
      <c r="T329">
        <v>125</v>
      </c>
      <c r="U329">
        <v>125</v>
      </c>
    </row>
    <row r="330" spans="1:21">
      <c r="A330">
        <v>44849</v>
      </c>
      <c r="B330" t="s">
        <v>546</v>
      </c>
      <c r="C330" t="s">
        <v>547</v>
      </c>
      <c r="D330" t="s">
        <v>163</v>
      </c>
      <c r="E330" t="s">
        <v>171</v>
      </c>
      <c r="F330" t="s">
        <v>1260</v>
      </c>
      <c r="G330">
        <v>0.37638888888888888</v>
      </c>
      <c r="H330" t="s">
        <v>1263</v>
      </c>
      <c r="I330">
        <v>0.86388888888888893</v>
      </c>
      <c r="J330">
        <v>100</v>
      </c>
      <c r="K330">
        <v>0</v>
      </c>
      <c r="L330">
        <v>0</v>
      </c>
      <c r="M330">
        <v>100</v>
      </c>
      <c r="N330">
        <v>0</v>
      </c>
      <c r="O330">
        <v>0</v>
      </c>
      <c r="P330" t="s">
        <v>1261</v>
      </c>
      <c r="S330">
        <v>11.7</v>
      </c>
      <c r="T330">
        <v>125</v>
      </c>
      <c r="U330">
        <v>225</v>
      </c>
    </row>
    <row r="331" spans="1:21">
      <c r="A331">
        <v>44835</v>
      </c>
      <c r="B331" t="s">
        <v>49</v>
      </c>
      <c r="C331" t="s">
        <v>50</v>
      </c>
      <c r="D331" t="s">
        <v>163</v>
      </c>
      <c r="E331" t="s">
        <v>167</v>
      </c>
      <c r="F331" t="s">
        <v>1265</v>
      </c>
      <c r="G331">
        <v>0.29722222222222222</v>
      </c>
      <c r="H331" t="s">
        <v>1265</v>
      </c>
      <c r="I331">
        <v>0.78472222222222221</v>
      </c>
      <c r="J331">
        <v>500</v>
      </c>
      <c r="K331">
        <v>0</v>
      </c>
      <c r="L331">
        <v>0</v>
      </c>
      <c r="M331">
        <v>200</v>
      </c>
      <c r="N331">
        <v>0</v>
      </c>
      <c r="O331">
        <v>0</v>
      </c>
      <c r="P331" t="s">
        <v>200</v>
      </c>
      <c r="S331">
        <v>11.7</v>
      </c>
      <c r="T331">
        <v>200</v>
      </c>
      <c r="U331">
        <v>700</v>
      </c>
    </row>
    <row r="332" spans="1:21">
      <c r="A332">
        <v>44837</v>
      </c>
      <c r="B332" t="s">
        <v>49</v>
      </c>
      <c r="C332" t="s">
        <v>50</v>
      </c>
      <c r="D332" t="s">
        <v>163</v>
      </c>
      <c r="E332" t="s">
        <v>167</v>
      </c>
      <c r="F332" t="s">
        <v>1265</v>
      </c>
      <c r="G332">
        <v>0.3298611111111111</v>
      </c>
      <c r="H332" t="s">
        <v>199</v>
      </c>
      <c r="I332">
        <v>0.85138888888888886</v>
      </c>
      <c r="J332">
        <v>236</v>
      </c>
      <c r="K332">
        <v>0</v>
      </c>
      <c r="L332">
        <v>0</v>
      </c>
      <c r="M332">
        <v>200</v>
      </c>
      <c r="N332">
        <v>0</v>
      </c>
      <c r="O332">
        <v>0</v>
      </c>
      <c r="P332" t="s">
        <v>200</v>
      </c>
      <c r="S332">
        <v>12.516666666666667</v>
      </c>
      <c r="T332">
        <v>200</v>
      </c>
      <c r="U332">
        <v>436</v>
      </c>
    </row>
    <row r="333" spans="1:21">
      <c r="A333">
        <v>44838</v>
      </c>
      <c r="B333" t="s">
        <v>49</v>
      </c>
      <c r="C333" t="s">
        <v>50</v>
      </c>
      <c r="D333" t="s">
        <v>163</v>
      </c>
      <c r="E333" t="s">
        <v>167</v>
      </c>
      <c r="F333" t="s">
        <v>1265</v>
      </c>
      <c r="G333">
        <v>0.3347222222222222</v>
      </c>
      <c r="H333" t="s">
        <v>1266</v>
      </c>
      <c r="I333">
        <v>0.76736111111111116</v>
      </c>
      <c r="J333">
        <v>0</v>
      </c>
      <c r="K333">
        <v>0</v>
      </c>
      <c r="L333">
        <v>0</v>
      </c>
      <c r="M333">
        <v>200</v>
      </c>
      <c r="N333">
        <v>0</v>
      </c>
      <c r="O333">
        <v>0</v>
      </c>
      <c r="P333" t="s">
        <v>200</v>
      </c>
      <c r="S333">
        <v>10.383333333333333</v>
      </c>
      <c r="T333">
        <v>200</v>
      </c>
      <c r="U333">
        <v>200</v>
      </c>
    </row>
    <row r="334" spans="1:21">
      <c r="A334">
        <v>44840</v>
      </c>
      <c r="B334" t="s">
        <v>49</v>
      </c>
      <c r="C334" t="s">
        <v>50</v>
      </c>
      <c r="D334" t="s">
        <v>163</v>
      </c>
      <c r="E334" t="s">
        <v>167</v>
      </c>
      <c r="F334" t="s">
        <v>1267</v>
      </c>
      <c r="G334">
        <v>0.29375000000000001</v>
      </c>
      <c r="H334" t="s">
        <v>1267</v>
      </c>
      <c r="I334">
        <v>0.79374999999999996</v>
      </c>
      <c r="J334">
        <v>0</v>
      </c>
      <c r="K334">
        <v>0</v>
      </c>
      <c r="L334">
        <v>0</v>
      </c>
      <c r="M334">
        <v>200</v>
      </c>
      <c r="N334">
        <v>0</v>
      </c>
      <c r="O334">
        <v>0</v>
      </c>
      <c r="P334" t="s">
        <v>200</v>
      </c>
      <c r="S334">
        <v>11.999999999999998</v>
      </c>
      <c r="T334">
        <v>200</v>
      </c>
      <c r="U334">
        <v>200</v>
      </c>
    </row>
    <row r="335" spans="1:21">
      <c r="A335">
        <v>44841</v>
      </c>
      <c r="B335" t="s">
        <v>49</v>
      </c>
      <c r="C335" t="s">
        <v>50</v>
      </c>
      <c r="D335" t="s">
        <v>163</v>
      </c>
      <c r="E335" t="s">
        <v>167</v>
      </c>
      <c r="F335" t="s">
        <v>1267</v>
      </c>
      <c r="G335">
        <v>0.34722222222222221</v>
      </c>
      <c r="H335" t="s">
        <v>1268</v>
      </c>
      <c r="I335">
        <v>0.79652777777777772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 t="s">
        <v>200</v>
      </c>
      <c r="S335">
        <v>10.783333333333331</v>
      </c>
      <c r="T335">
        <v>200</v>
      </c>
      <c r="U335">
        <v>200</v>
      </c>
    </row>
    <row r="336" spans="1:21">
      <c r="A336">
        <v>44842</v>
      </c>
      <c r="B336" t="s">
        <v>49</v>
      </c>
      <c r="C336" t="s">
        <v>50</v>
      </c>
      <c r="D336" t="s">
        <v>163</v>
      </c>
      <c r="E336" t="s">
        <v>167</v>
      </c>
      <c r="F336" t="s">
        <v>1267</v>
      </c>
      <c r="G336">
        <v>0.34097222222222223</v>
      </c>
      <c r="H336" t="s">
        <v>1267</v>
      </c>
      <c r="I336">
        <v>0.37361111111111112</v>
      </c>
      <c r="J336">
        <v>0</v>
      </c>
      <c r="K336">
        <v>0</v>
      </c>
      <c r="L336">
        <v>0</v>
      </c>
      <c r="M336">
        <v>200</v>
      </c>
      <c r="N336">
        <v>0</v>
      </c>
      <c r="O336">
        <v>0</v>
      </c>
      <c r="P336" t="s">
        <v>200</v>
      </c>
      <c r="S336">
        <v>0.78333333333333321</v>
      </c>
      <c r="T336">
        <v>0</v>
      </c>
      <c r="U336">
        <v>0</v>
      </c>
    </row>
    <row r="337" spans="1:21">
      <c r="A337">
        <v>44844</v>
      </c>
      <c r="B337" t="s">
        <v>49</v>
      </c>
      <c r="C337" t="s">
        <v>50</v>
      </c>
      <c r="D337" t="s">
        <v>163</v>
      </c>
      <c r="E337" t="s">
        <v>167</v>
      </c>
      <c r="F337" t="s">
        <v>1267</v>
      </c>
      <c r="G337">
        <v>0.37361111111111112</v>
      </c>
      <c r="H337" t="s">
        <v>1267</v>
      </c>
      <c r="I337">
        <v>0.78611111111111109</v>
      </c>
      <c r="J337">
        <v>500</v>
      </c>
      <c r="K337">
        <v>0</v>
      </c>
      <c r="L337">
        <v>0</v>
      </c>
      <c r="M337">
        <v>200</v>
      </c>
      <c r="N337">
        <v>0</v>
      </c>
      <c r="O337">
        <v>0</v>
      </c>
      <c r="P337" t="s">
        <v>200</v>
      </c>
      <c r="S337">
        <v>9.8999999999999986</v>
      </c>
      <c r="T337">
        <v>200</v>
      </c>
      <c r="U337">
        <v>700</v>
      </c>
    </row>
    <row r="338" spans="1:21">
      <c r="A338">
        <v>44845</v>
      </c>
      <c r="B338" t="s">
        <v>49</v>
      </c>
      <c r="C338" t="s">
        <v>50</v>
      </c>
      <c r="D338" t="s">
        <v>163</v>
      </c>
      <c r="E338" t="s">
        <v>167</v>
      </c>
      <c r="F338" t="s">
        <v>1269</v>
      </c>
      <c r="G338">
        <v>0.35069444444444442</v>
      </c>
      <c r="H338" t="s">
        <v>1270</v>
      </c>
      <c r="I338">
        <v>0.47430555555555554</v>
      </c>
      <c r="J338">
        <v>0</v>
      </c>
      <c r="K338">
        <v>0</v>
      </c>
      <c r="L338">
        <v>0</v>
      </c>
      <c r="M338">
        <v>200</v>
      </c>
      <c r="N338">
        <v>20</v>
      </c>
      <c r="O338">
        <v>0</v>
      </c>
      <c r="P338" t="s">
        <v>200</v>
      </c>
      <c r="S338">
        <v>2.9666666666666668</v>
      </c>
      <c r="T338">
        <v>0</v>
      </c>
      <c r="U338">
        <v>20</v>
      </c>
    </row>
    <row r="339" spans="1:21">
      <c r="A339">
        <v>44846</v>
      </c>
      <c r="B339" t="s">
        <v>49</v>
      </c>
      <c r="C339" t="s">
        <v>50</v>
      </c>
      <c r="D339" t="s">
        <v>163</v>
      </c>
      <c r="E339" t="s">
        <v>167</v>
      </c>
      <c r="F339" t="s">
        <v>199</v>
      </c>
      <c r="G339">
        <v>0.375</v>
      </c>
      <c r="H339" t="s">
        <v>1269</v>
      </c>
      <c r="I339">
        <v>0.82291666666666663</v>
      </c>
      <c r="J339">
        <v>0</v>
      </c>
      <c r="K339">
        <v>0</v>
      </c>
      <c r="L339">
        <v>0</v>
      </c>
      <c r="M339">
        <v>200</v>
      </c>
      <c r="N339">
        <v>80</v>
      </c>
      <c r="O339">
        <v>0</v>
      </c>
      <c r="P339" t="s">
        <v>200</v>
      </c>
      <c r="S339">
        <v>10.75</v>
      </c>
      <c r="T339">
        <v>200</v>
      </c>
      <c r="U339">
        <v>280</v>
      </c>
    </row>
    <row r="340" spans="1:21">
      <c r="A340">
        <v>44847</v>
      </c>
      <c r="B340" t="s">
        <v>49</v>
      </c>
      <c r="C340" t="s">
        <v>50</v>
      </c>
      <c r="D340" t="s">
        <v>163</v>
      </c>
      <c r="E340" t="s">
        <v>167</v>
      </c>
      <c r="F340" t="s">
        <v>1267</v>
      </c>
      <c r="G340">
        <v>0.25555555555555554</v>
      </c>
      <c r="H340" t="s">
        <v>1265</v>
      </c>
      <c r="I340">
        <v>0.82361111111111107</v>
      </c>
      <c r="J340">
        <v>0</v>
      </c>
      <c r="K340">
        <v>0</v>
      </c>
      <c r="L340">
        <v>0</v>
      </c>
      <c r="M340">
        <v>200</v>
      </c>
      <c r="N340">
        <v>0</v>
      </c>
      <c r="O340">
        <v>0</v>
      </c>
      <c r="P340" t="s">
        <v>200</v>
      </c>
      <c r="S340">
        <v>13.633333333333333</v>
      </c>
      <c r="T340">
        <v>200</v>
      </c>
      <c r="U340">
        <v>200</v>
      </c>
    </row>
    <row r="341" spans="1:21">
      <c r="A341">
        <v>44848</v>
      </c>
      <c r="B341" t="s">
        <v>49</v>
      </c>
      <c r="C341" t="s">
        <v>50</v>
      </c>
      <c r="D341" t="s">
        <v>163</v>
      </c>
      <c r="E341" t="s">
        <v>167</v>
      </c>
      <c r="F341" t="s">
        <v>1267</v>
      </c>
      <c r="G341">
        <v>0.2673611111111111</v>
      </c>
      <c r="H341" t="s">
        <v>1265</v>
      </c>
      <c r="I341">
        <v>0.81874999999999998</v>
      </c>
      <c r="J341">
        <v>500</v>
      </c>
      <c r="K341">
        <v>0</v>
      </c>
      <c r="L341">
        <v>0</v>
      </c>
      <c r="M341">
        <v>200</v>
      </c>
      <c r="N341">
        <v>0</v>
      </c>
      <c r="O341">
        <v>0</v>
      </c>
      <c r="P341" t="s">
        <v>200</v>
      </c>
      <c r="S341">
        <v>13.233333333333334</v>
      </c>
      <c r="T341">
        <v>200</v>
      </c>
      <c r="U341">
        <v>700</v>
      </c>
    </row>
    <row r="342" spans="1:21">
      <c r="A342">
        <v>44849</v>
      </c>
      <c r="B342" t="s">
        <v>49</v>
      </c>
      <c r="C342" t="s">
        <v>50</v>
      </c>
      <c r="D342" t="s">
        <v>163</v>
      </c>
      <c r="E342" t="s">
        <v>167</v>
      </c>
      <c r="F342" t="s">
        <v>1265</v>
      </c>
      <c r="G342">
        <v>0.27986111111111112</v>
      </c>
      <c r="H342" t="s">
        <v>1265</v>
      </c>
      <c r="I342">
        <v>0.76666666666666672</v>
      </c>
      <c r="J342">
        <v>0</v>
      </c>
      <c r="K342">
        <v>0</v>
      </c>
      <c r="L342">
        <v>0</v>
      </c>
      <c r="M342">
        <v>200</v>
      </c>
      <c r="N342">
        <v>0</v>
      </c>
      <c r="O342">
        <v>0</v>
      </c>
      <c r="P342" t="s">
        <v>200</v>
      </c>
      <c r="S342">
        <v>11.683333333333332</v>
      </c>
      <c r="T342">
        <v>200</v>
      </c>
      <c r="U342">
        <v>200</v>
      </c>
    </row>
    <row r="343" spans="1:21">
      <c r="A343">
        <v>44835</v>
      </c>
      <c r="B343" t="s">
        <v>63</v>
      </c>
      <c r="C343" t="s">
        <v>64</v>
      </c>
      <c r="D343" t="s">
        <v>163</v>
      </c>
      <c r="E343" t="s">
        <v>167</v>
      </c>
      <c r="F343" t="s">
        <v>1271</v>
      </c>
      <c r="G343">
        <v>0.36805555555555558</v>
      </c>
      <c r="H343" t="s">
        <v>1272</v>
      </c>
      <c r="I343">
        <v>0.89097222222222228</v>
      </c>
      <c r="J343">
        <v>0</v>
      </c>
      <c r="K343">
        <v>0</v>
      </c>
      <c r="L343">
        <v>0</v>
      </c>
      <c r="M343">
        <v>250</v>
      </c>
      <c r="N343">
        <v>0</v>
      </c>
      <c r="O343">
        <v>0</v>
      </c>
      <c r="P343" t="s">
        <v>201</v>
      </c>
      <c r="S343">
        <v>12.55</v>
      </c>
      <c r="T343">
        <v>200</v>
      </c>
      <c r="U343">
        <v>200</v>
      </c>
    </row>
    <row r="344" spans="1:21">
      <c r="A344">
        <v>44837</v>
      </c>
      <c r="B344" t="s">
        <v>63</v>
      </c>
      <c r="C344" t="s">
        <v>64</v>
      </c>
      <c r="D344" t="s">
        <v>163</v>
      </c>
      <c r="E344" t="s">
        <v>167</v>
      </c>
      <c r="F344" t="s">
        <v>1273</v>
      </c>
      <c r="G344">
        <v>0.36319444444444443</v>
      </c>
      <c r="H344" t="s">
        <v>1274</v>
      </c>
      <c r="I344">
        <v>0.90763888888888888</v>
      </c>
      <c r="J344">
        <v>550</v>
      </c>
      <c r="K344">
        <v>0</v>
      </c>
      <c r="L344">
        <v>0</v>
      </c>
      <c r="M344">
        <v>250</v>
      </c>
      <c r="N344">
        <v>0</v>
      </c>
      <c r="O344">
        <v>0</v>
      </c>
      <c r="P344" t="s">
        <v>201</v>
      </c>
      <c r="S344">
        <v>13.066666666666668</v>
      </c>
      <c r="T344">
        <v>200</v>
      </c>
      <c r="U344">
        <v>750</v>
      </c>
    </row>
    <row r="345" spans="1:21">
      <c r="A345">
        <v>44838</v>
      </c>
      <c r="B345" t="s">
        <v>63</v>
      </c>
      <c r="C345" t="s">
        <v>64</v>
      </c>
      <c r="D345" t="s">
        <v>163</v>
      </c>
      <c r="E345" t="s">
        <v>167</v>
      </c>
      <c r="F345" t="s">
        <v>1273</v>
      </c>
      <c r="G345">
        <v>0.37152777777777779</v>
      </c>
      <c r="H345" t="s">
        <v>1275</v>
      </c>
      <c r="I345">
        <v>0.90486111111111112</v>
      </c>
      <c r="J345">
        <v>0</v>
      </c>
      <c r="K345">
        <v>0</v>
      </c>
      <c r="L345">
        <v>0</v>
      </c>
      <c r="M345">
        <v>250</v>
      </c>
      <c r="N345">
        <v>0</v>
      </c>
      <c r="O345">
        <v>0</v>
      </c>
      <c r="P345" t="s">
        <v>201</v>
      </c>
      <c r="S345">
        <v>12.8</v>
      </c>
      <c r="T345">
        <v>200</v>
      </c>
      <c r="U345">
        <v>200</v>
      </c>
    </row>
    <row r="346" spans="1:21">
      <c r="A346">
        <v>44840</v>
      </c>
      <c r="B346" t="s">
        <v>63</v>
      </c>
      <c r="C346" t="s">
        <v>64</v>
      </c>
      <c r="D346" t="s">
        <v>163</v>
      </c>
      <c r="E346" t="s">
        <v>167</v>
      </c>
      <c r="F346" t="s">
        <v>1276</v>
      </c>
      <c r="G346">
        <v>0.37777777777777777</v>
      </c>
      <c r="H346" t="s">
        <v>1276</v>
      </c>
      <c r="I346">
        <v>0.98819444444444449</v>
      </c>
      <c r="J346">
        <v>0</v>
      </c>
      <c r="K346">
        <v>0</v>
      </c>
      <c r="L346">
        <v>0</v>
      </c>
      <c r="M346">
        <v>250</v>
      </c>
      <c r="N346">
        <v>0</v>
      </c>
      <c r="O346">
        <v>0</v>
      </c>
      <c r="P346" t="s">
        <v>201</v>
      </c>
      <c r="S346">
        <v>14.649999999999999</v>
      </c>
      <c r="T346">
        <v>200</v>
      </c>
      <c r="U346">
        <v>200</v>
      </c>
    </row>
    <row r="347" spans="1:21">
      <c r="A347">
        <v>44841</v>
      </c>
      <c r="B347" t="s">
        <v>63</v>
      </c>
      <c r="C347" t="s">
        <v>64</v>
      </c>
      <c r="D347" t="s">
        <v>163</v>
      </c>
      <c r="E347" t="s">
        <v>167</v>
      </c>
      <c r="F347" t="s">
        <v>1273</v>
      </c>
      <c r="G347">
        <v>0.35694444444444445</v>
      </c>
      <c r="H347" t="s">
        <v>1277</v>
      </c>
      <c r="I347">
        <v>0.91874999999999996</v>
      </c>
      <c r="J347">
        <v>510</v>
      </c>
      <c r="K347">
        <v>0</v>
      </c>
      <c r="L347">
        <v>0</v>
      </c>
      <c r="M347">
        <v>250</v>
      </c>
      <c r="N347">
        <v>0</v>
      </c>
      <c r="O347">
        <v>0</v>
      </c>
      <c r="P347" t="s">
        <v>201</v>
      </c>
      <c r="S347">
        <v>13.483333333333331</v>
      </c>
      <c r="T347">
        <v>200</v>
      </c>
      <c r="U347">
        <v>710</v>
      </c>
    </row>
    <row r="348" spans="1:21">
      <c r="A348">
        <v>44842</v>
      </c>
      <c r="B348" t="s">
        <v>63</v>
      </c>
      <c r="C348" t="s">
        <v>64</v>
      </c>
      <c r="D348" t="s">
        <v>163</v>
      </c>
      <c r="E348" t="s">
        <v>167</v>
      </c>
      <c r="F348" t="s">
        <v>1273</v>
      </c>
      <c r="G348">
        <v>0.35694444444444445</v>
      </c>
      <c r="H348" t="s">
        <v>1273</v>
      </c>
      <c r="I348">
        <v>0.83402777777777781</v>
      </c>
      <c r="J348">
        <v>0</v>
      </c>
      <c r="K348">
        <v>0</v>
      </c>
      <c r="L348">
        <v>150</v>
      </c>
      <c r="M348">
        <v>0</v>
      </c>
      <c r="N348">
        <v>0</v>
      </c>
      <c r="O348">
        <v>0</v>
      </c>
      <c r="P348" t="s">
        <v>201</v>
      </c>
      <c r="S348">
        <v>11.449999999999998</v>
      </c>
      <c r="T348">
        <v>200</v>
      </c>
      <c r="U348">
        <v>350</v>
      </c>
    </row>
    <row r="349" spans="1:21">
      <c r="A349">
        <v>44844</v>
      </c>
      <c r="B349" t="s">
        <v>63</v>
      </c>
      <c r="C349" t="s">
        <v>64</v>
      </c>
      <c r="D349" t="s">
        <v>163</v>
      </c>
      <c r="E349" t="s">
        <v>167</v>
      </c>
      <c r="F349" t="s">
        <v>1274</v>
      </c>
      <c r="G349">
        <v>0.36041666666666666</v>
      </c>
      <c r="H349" t="s">
        <v>1274</v>
      </c>
      <c r="I349">
        <v>0.8979166666666667</v>
      </c>
      <c r="J349">
        <v>0</v>
      </c>
      <c r="K349">
        <v>0</v>
      </c>
      <c r="L349">
        <v>0</v>
      </c>
      <c r="M349">
        <v>250</v>
      </c>
      <c r="N349">
        <v>0</v>
      </c>
      <c r="O349">
        <v>0</v>
      </c>
      <c r="P349" t="s">
        <v>201</v>
      </c>
      <c r="S349">
        <v>12.899999999999997</v>
      </c>
      <c r="T349">
        <v>200</v>
      </c>
      <c r="U349">
        <v>200</v>
      </c>
    </row>
    <row r="350" spans="1:21">
      <c r="A350">
        <v>44845</v>
      </c>
      <c r="B350" t="s">
        <v>63</v>
      </c>
      <c r="C350" t="s">
        <v>64</v>
      </c>
      <c r="D350" t="s">
        <v>163</v>
      </c>
      <c r="E350" t="s">
        <v>167</v>
      </c>
      <c r="F350" t="s">
        <v>1276</v>
      </c>
      <c r="G350">
        <v>0.36180555555555555</v>
      </c>
      <c r="H350" t="s">
        <v>1273</v>
      </c>
      <c r="I350">
        <v>0.86805555555555558</v>
      </c>
      <c r="J350">
        <v>0</v>
      </c>
      <c r="K350">
        <v>0</v>
      </c>
      <c r="L350">
        <v>0</v>
      </c>
      <c r="M350">
        <v>250</v>
      </c>
      <c r="N350">
        <v>0</v>
      </c>
      <c r="O350">
        <v>0</v>
      </c>
      <c r="P350" t="s">
        <v>201</v>
      </c>
      <c r="S350">
        <v>12.149999999999997</v>
      </c>
      <c r="T350">
        <v>200</v>
      </c>
      <c r="U350">
        <v>200</v>
      </c>
    </row>
    <row r="351" spans="1:21">
      <c r="A351">
        <v>44846</v>
      </c>
      <c r="B351" t="s">
        <v>63</v>
      </c>
      <c r="C351" t="s">
        <v>64</v>
      </c>
      <c r="D351" t="s">
        <v>163</v>
      </c>
      <c r="E351" t="s">
        <v>167</v>
      </c>
      <c r="F351" t="s">
        <v>1276</v>
      </c>
      <c r="G351">
        <v>0.37777777777777777</v>
      </c>
      <c r="H351" t="s">
        <v>1273</v>
      </c>
      <c r="I351">
        <v>0.96111111111111114</v>
      </c>
      <c r="J351">
        <v>0</v>
      </c>
      <c r="K351">
        <v>0</v>
      </c>
      <c r="L351">
        <v>0</v>
      </c>
      <c r="M351">
        <v>250</v>
      </c>
      <c r="N351">
        <v>125</v>
      </c>
      <c r="O351">
        <v>0</v>
      </c>
      <c r="P351" t="s">
        <v>201</v>
      </c>
      <c r="S351">
        <v>13.999999999999998</v>
      </c>
      <c r="T351">
        <v>200</v>
      </c>
      <c r="U351">
        <v>325</v>
      </c>
    </row>
    <row r="352" spans="1:21">
      <c r="A352">
        <v>44847</v>
      </c>
      <c r="B352" t="s">
        <v>63</v>
      </c>
      <c r="C352" t="s">
        <v>64</v>
      </c>
      <c r="D352" t="s">
        <v>163</v>
      </c>
      <c r="E352" t="s">
        <v>167</v>
      </c>
      <c r="F352" t="s">
        <v>1276</v>
      </c>
      <c r="G352">
        <v>0.39166666666666666</v>
      </c>
      <c r="H352" t="s">
        <v>1277</v>
      </c>
      <c r="I352">
        <v>0.93611111111111112</v>
      </c>
      <c r="J352">
        <v>600</v>
      </c>
      <c r="K352">
        <v>0</v>
      </c>
      <c r="L352">
        <v>0</v>
      </c>
      <c r="M352">
        <v>250</v>
      </c>
      <c r="N352">
        <v>0</v>
      </c>
      <c r="O352">
        <v>0</v>
      </c>
      <c r="P352" t="s">
        <v>201</v>
      </c>
      <c r="S352">
        <v>13.066666666666668</v>
      </c>
      <c r="T352">
        <v>200</v>
      </c>
      <c r="U352">
        <v>800</v>
      </c>
    </row>
    <row r="353" spans="1:21">
      <c r="A353">
        <v>44848</v>
      </c>
      <c r="B353" t="s">
        <v>63</v>
      </c>
      <c r="C353" t="s">
        <v>64</v>
      </c>
      <c r="D353" t="s">
        <v>163</v>
      </c>
      <c r="E353" t="s">
        <v>167</v>
      </c>
      <c r="F353" t="s">
        <v>1278</v>
      </c>
      <c r="G353">
        <v>0.38055555555555554</v>
      </c>
      <c r="H353" t="s">
        <v>1277</v>
      </c>
      <c r="I353">
        <v>0.93333333333333335</v>
      </c>
      <c r="J353">
        <v>680</v>
      </c>
      <c r="K353">
        <v>0</v>
      </c>
      <c r="L353">
        <v>0</v>
      </c>
      <c r="M353">
        <v>250</v>
      </c>
      <c r="N353">
        <v>0</v>
      </c>
      <c r="O353">
        <v>0</v>
      </c>
      <c r="P353" t="s">
        <v>201</v>
      </c>
      <c r="S353">
        <v>13.266666666666667</v>
      </c>
      <c r="T353">
        <v>200</v>
      </c>
      <c r="U353">
        <v>880</v>
      </c>
    </row>
    <row r="354" spans="1:21">
      <c r="A354">
        <v>44849</v>
      </c>
      <c r="B354" t="s">
        <v>63</v>
      </c>
      <c r="C354" t="s">
        <v>64</v>
      </c>
      <c r="D354" t="s">
        <v>163</v>
      </c>
      <c r="E354" t="s">
        <v>167</v>
      </c>
      <c r="F354" t="s">
        <v>1279</v>
      </c>
      <c r="G354">
        <v>0.38124999999999998</v>
      </c>
      <c r="I354">
        <v>0.50486111111111109</v>
      </c>
      <c r="J354">
        <v>0</v>
      </c>
      <c r="K354">
        <v>0</v>
      </c>
      <c r="L354">
        <v>0</v>
      </c>
      <c r="M354">
        <v>250</v>
      </c>
      <c r="N354">
        <v>8100</v>
      </c>
      <c r="O354">
        <v>0</v>
      </c>
      <c r="P354" t="s">
        <v>201</v>
      </c>
      <c r="S354">
        <v>2.9666666666666668</v>
      </c>
      <c r="T354">
        <v>0</v>
      </c>
      <c r="U354">
        <v>8100</v>
      </c>
    </row>
    <row r="355" spans="1:21">
      <c r="A355">
        <v>44835</v>
      </c>
      <c r="B355" t="s">
        <v>584</v>
      </c>
      <c r="C355" t="s">
        <v>585</v>
      </c>
      <c r="D355" t="s">
        <v>163</v>
      </c>
      <c r="E355" t="s">
        <v>171</v>
      </c>
      <c r="F355" t="s">
        <v>1280</v>
      </c>
      <c r="G355">
        <v>0.39861111111111114</v>
      </c>
      <c r="H355" t="s">
        <v>1281</v>
      </c>
      <c r="I355">
        <v>0.82777777777777772</v>
      </c>
      <c r="J355">
        <v>200</v>
      </c>
      <c r="K355">
        <v>0</v>
      </c>
      <c r="L355">
        <v>0</v>
      </c>
      <c r="M355">
        <v>100</v>
      </c>
      <c r="N355">
        <v>0</v>
      </c>
      <c r="O355">
        <v>0</v>
      </c>
      <c r="P355" t="s">
        <v>1282</v>
      </c>
      <c r="S355">
        <v>10.299999999999999</v>
      </c>
      <c r="T355">
        <v>125</v>
      </c>
      <c r="U355">
        <v>325</v>
      </c>
    </row>
    <row r="356" spans="1:21">
      <c r="A356">
        <v>44837</v>
      </c>
      <c r="B356" t="s">
        <v>584</v>
      </c>
      <c r="C356" t="s">
        <v>585</v>
      </c>
      <c r="D356" t="s">
        <v>163</v>
      </c>
      <c r="E356" t="s">
        <v>171</v>
      </c>
      <c r="F356" t="s">
        <v>1280</v>
      </c>
      <c r="G356">
        <v>0.35972222222222222</v>
      </c>
      <c r="H356" t="s">
        <v>1281</v>
      </c>
      <c r="I356">
        <v>0.82499999999999996</v>
      </c>
      <c r="J356">
        <v>200</v>
      </c>
      <c r="K356">
        <v>0</v>
      </c>
      <c r="L356">
        <v>0</v>
      </c>
      <c r="M356">
        <v>100</v>
      </c>
      <c r="N356">
        <v>0</v>
      </c>
      <c r="O356">
        <v>0</v>
      </c>
      <c r="P356" t="s">
        <v>1282</v>
      </c>
      <c r="S356">
        <v>11.166666666666666</v>
      </c>
      <c r="T356">
        <v>125</v>
      </c>
      <c r="U356">
        <v>325</v>
      </c>
    </row>
    <row r="357" spans="1:21">
      <c r="A357">
        <v>44838</v>
      </c>
      <c r="B357" t="s">
        <v>584</v>
      </c>
      <c r="C357" t="s">
        <v>585</v>
      </c>
      <c r="D357" t="s">
        <v>163</v>
      </c>
      <c r="E357" t="s">
        <v>171</v>
      </c>
      <c r="F357" t="s">
        <v>1283</v>
      </c>
      <c r="G357">
        <v>0.39027777777777778</v>
      </c>
      <c r="H357" t="s">
        <v>1284</v>
      </c>
      <c r="I357">
        <v>0.84861111111111109</v>
      </c>
      <c r="J357">
        <v>200</v>
      </c>
      <c r="K357">
        <v>0</v>
      </c>
      <c r="L357">
        <v>0</v>
      </c>
      <c r="M357">
        <v>100</v>
      </c>
      <c r="N357">
        <v>0</v>
      </c>
      <c r="O357">
        <v>0</v>
      </c>
      <c r="P357" t="s">
        <v>1282</v>
      </c>
      <c r="S357">
        <v>11</v>
      </c>
      <c r="T357">
        <v>125</v>
      </c>
      <c r="U357">
        <v>325</v>
      </c>
    </row>
    <row r="358" spans="1:21">
      <c r="A358">
        <v>44840</v>
      </c>
      <c r="B358" t="s">
        <v>584</v>
      </c>
      <c r="C358" t="s">
        <v>585</v>
      </c>
      <c r="D358" t="s">
        <v>163</v>
      </c>
      <c r="E358" t="s">
        <v>171</v>
      </c>
      <c r="F358" t="s">
        <v>1285</v>
      </c>
      <c r="G358">
        <v>0.37291666666666667</v>
      </c>
      <c r="H358" t="s">
        <v>1280</v>
      </c>
      <c r="I358">
        <v>0.79583333333333328</v>
      </c>
      <c r="J358">
        <v>0</v>
      </c>
      <c r="K358">
        <v>0</v>
      </c>
      <c r="L358">
        <v>0</v>
      </c>
      <c r="M358">
        <v>100</v>
      </c>
      <c r="N358">
        <v>0</v>
      </c>
      <c r="O358">
        <v>0</v>
      </c>
      <c r="P358" t="s">
        <v>1282</v>
      </c>
      <c r="S358">
        <v>10.149999999999999</v>
      </c>
      <c r="T358">
        <v>125</v>
      </c>
      <c r="U358">
        <v>125</v>
      </c>
    </row>
    <row r="359" spans="1:21">
      <c r="A359">
        <v>44841</v>
      </c>
      <c r="B359" t="s">
        <v>584</v>
      </c>
      <c r="C359" t="s">
        <v>585</v>
      </c>
      <c r="D359" t="s">
        <v>163</v>
      </c>
      <c r="E359" t="s">
        <v>171</v>
      </c>
      <c r="F359" t="s">
        <v>1280</v>
      </c>
      <c r="G359">
        <v>0.35138888888888886</v>
      </c>
      <c r="H359" t="s">
        <v>1286</v>
      </c>
      <c r="I359">
        <v>0.8618055555555556</v>
      </c>
      <c r="J359">
        <v>200</v>
      </c>
      <c r="K359">
        <v>0</v>
      </c>
      <c r="L359">
        <v>0</v>
      </c>
      <c r="M359">
        <v>100</v>
      </c>
      <c r="N359">
        <v>0</v>
      </c>
      <c r="O359">
        <v>0</v>
      </c>
      <c r="P359" t="s">
        <v>1282</v>
      </c>
      <c r="S359">
        <v>12.25</v>
      </c>
      <c r="T359">
        <v>125</v>
      </c>
      <c r="U359">
        <v>325</v>
      </c>
    </row>
    <row r="360" spans="1:21">
      <c r="A360">
        <v>44844</v>
      </c>
      <c r="B360" t="s">
        <v>584</v>
      </c>
      <c r="C360" t="s">
        <v>585</v>
      </c>
      <c r="D360" t="s">
        <v>163</v>
      </c>
      <c r="E360" t="s">
        <v>171</v>
      </c>
      <c r="F360" t="s">
        <v>1287</v>
      </c>
      <c r="G360">
        <v>0.32777777777777778</v>
      </c>
      <c r="H360" t="s">
        <v>1280</v>
      </c>
      <c r="I360">
        <v>0.83958333333333335</v>
      </c>
      <c r="J360">
        <v>200</v>
      </c>
      <c r="K360">
        <v>0</v>
      </c>
      <c r="L360">
        <v>0</v>
      </c>
      <c r="M360">
        <v>100</v>
      </c>
      <c r="N360">
        <v>0</v>
      </c>
      <c r="O360">
        <v>0</v>
      </c>
      <c r="P360" t="s">
        <v>1282</v>
      </c>
      <c r="S360">
        <v>12.283333333333335</v>
      </c>
      <c r="T360">
        <v>125</v>
      </c>
      <c r="U360">
        <v>325</v>
      </c>
    </row>
    <row r="361" spans="1:21">
      <c r="A361">
        <v>44845</v>
      </c>
      <c r="B361" t="s">
        <v>584</v>
      </c>
      <c r="C361" t="s">
        <v>585</v>
      </c>
      <c r="D361" t="s">
        <v>163</v>
      </c>
      <c r="E361" t="s">
        <v>171</v>
      </c>
      <c r="F361" t="s">
        <v>1280</v>
      </c>
      <c r="G361">
        <v>0.33888888888888891</v>
      </c>
      <c r="H361" t="s">
        <v>1280</v>
      </c>
      <c r="I361">
        <v>0.88194444444444442</v>
      </c>
      <c r="J361">
        <v>0</v>
      </c>
      <c r="K361">
        <v>0</v>
      </c>
      <c r="L361">
        <v>0</v>
      </c>
      <c r="M361">
        <v>100</v>
      </c>
      <c r="N361">
        <v>0</v>
      </c>
      <c r="O361">
        <v>0</v>
      </c>
      <c r="P361" t="s">
        <v>1282</v>
      </c>
      <c r="S361">
        <v>13.033333333333335</v>
      </c>
      <c r="T361">
        <v>125</v>
      </c>
      <c r="U361">
        <v>125</v>
      </c>
    </row>
    <row r="362" spans="1:21">
      <c r="A362">
        <v>44846</v>
      </c>
      <c r="B362" t="s">
        <v>584</v>
      </c>
      <c r="C362" t="s">
        <v>585</v>
      </c>
      <c r="D362" t="s">
        <v>163</v>
      </c>
      <c r="E362" t="s">
        <v>171</v>
      </c>
      <c r="F362" t="s">
        <v>1280</v>
      </c>
      <c r="G362">
        <v>0.41249999999999998</v>
      </c>
      <c r="H362" t="s">
        <v>1288</v>
      </c>
      <c r="I362">
        <v>0.80138888888888893</v>
      </c>
      <c r="J362">
        <v>200</v>
      </c>
      <c r="K362">
        <v>0</v>
      </c>
      <c r="L362">
        <v>0</v>
      </c>
      <c r="M362">
        <v>100</v>
      </c>
      <c r="N362">
        <v>0</v>
      </c>
      <c r="O362">
        <v>0</v>
      </c>
      <c r="P362" t="s">
        <v>1282</v>
      </c>
      <c r="S362">
        <v>9.3333333333333321</v>
      </c>
      <c r="T362">
        <v>125</v>
      </c>
      <c r="U362">
        <v>325</v>
      </c>
    </row>
    <row r="363" spans="1:21">
      <c r="A363">
        <v>44847</v>
      </c>
      <c r="B363" t="s">
        <v>584</v>
      </c>
      <c r="C363" t="s">
        <v>585</v>
      </c>
      <c r="D363" t="s">
        <v>163</v>
      </c>
      <c r="E363" t="s">
        <v>171</v>
      </c>
      <c r="F363" t="s">
        <v>178</v>
      </c>
      <c r="G363">
        <v>0.39791666666666664</v>
      </c>
      <c r="H363" t="s">
        <v>1280</v>
      </c>
      <c r="I363">
        <v>0.82291666666666663</v>
      </c>
      <c r="J363">
        <v>200</v>
      </c>
      <c r="K363">
        <v>0</v>
      </c>
      <c r="L363">
        <v>0</v>
      </c>
      <c r="M363">
        <v>100</v>
      </c>
      <c r="N363">
        <v>50</v>
      </c>
      <c r="O363">
        <v>0</v>
      </c>
      <c r="P363" t="s">
        <v>1282</v>
      </c>
      <c r="S363">
        <v>10.199999999999999</v>
      </c>
      <c r="T363">
        <v>125</v>
      </c>
      <c r="U363">
        <v>375</v>
      </c>
    </row>
    <row r="364" spans="1:21">
      <c r="A364">
        <v>44848</v>
      </c>
      <c r="B364" t="s">
        <v>584</v>
      </c>
      <c r="C364" t="s">
        <v>585</v>
      </c>
      <c r="D364" t="s">
        <v>163</v>
      </c>
      <c r="E364" t="s">
        <v>171</v>
      </c>
      <c r="F364" t="s">
        <v>1289</v>
      </c>
      <c r="G364">
        <v>0.36666666666666664</v>
      </c>
      <c r="H364" t="s">
        <v>1280</v>
      </c>
      <c r="I364">
        <v>0.78611111111111109</v>
      </c>
      <c r="J364">
        <v>0</v>
      </c>
      <c r="K364">
        <v>0</v>
      </c>
      <c r="L364">
        <v>0</v>
      </c>
      <c r="M364">
        <v>100</v>
      </c>
      <c r="N364">
        <v>0</v>
      </c>
      <c r="O364">
        <v>0</v>
      </c>
      <c r="P364" t="s">
        <v>1282</v>
      </c>
      <c r="S364">
        <v>10.066666666666666</v>
      </c>
      <c r="T364">
        <v>125</v>
      </c>
      <c r="U364">
        <v>125</v>
      </c>
    </row>
    <row r="365" spans="1:21">
      <c r="A365">
        <v>44849</v>
      </c>
      <c r="B365" t="s">
        <v>584</v>
      </c>
      <c r="C365" t="s">
        <v>585</v>
      </c>
      <c r="D365" t="s">
        <v>163</v>
      </c>
      <c r="E365" t="s">
        <v>171</v>
      </c>
      <c r="F365" t="s">
        <v>1280</v>
      </c>
      <c r="G365">
        <v>0.33819444444444446</v>
      </c>
      <c r="H365" t="s">
        <v>1290</v>
      </c>
      <c r="I365">
        <v>0.87569444444444444</v>
      </c>
      <c r="J365">
        <v>200</v>
      </c>
      <c r="K365">
        <v>0</v>
      </c>
      <c r="L365">
        <v>0</v>
      </c>
      <c r="M365">
        <v>100</v>
      </c>
      <c r="N365">
        <v>0</v>
      </c>
      <c r="O365">
        <v>0</v>
      </c>
      <c r="P365" t="s">
        <v>1282</v>
      </c>
      <c r="S365">
        <v>12.900000000000002</v>
      </c>
      <c r="T365">
        <v>125</v>
      </c>
      <c r="U365">
        <v>325</v>
      </c>
    </row>
    <row r="366" spans="1:21">
      <c r="A366">
        <v>44835</v>
      </c>
      <c r="B366" t="s">
        <v>596</v>
      </c>
      <c r="C366" t="s">
        <v>597</v>
      </c>
      <c r="D366" t="s">
        <v>163</v>
      </c>
      <c r="E366" t="s">
        <v>171</v>
      </c>
      <c r="F366" t="s">
        <v>1291</v>
      </c>
      <c r="G366">
        <v>0.32777777777777778</v>
      </c>
      <c r="H366" t="s">
        <v>1291</v>
      </c>
      <c r="I366">
        <v>0.88055555555555554</v>
      </c>
      <c r="J366">
        <v>0</v>
      </c>
      <c r="K366">
        <v>0</v>
      </c>
      <c r="L366">
        <v>150</v>
      </c>
      <c r="M366">
        <v>0</v>
      </c>
      <c r="N366">
        <v>0</v>
      </c>
      <c r="O366">
        <v>265</v>
      </c>
      <c r="P366" t="s">
        <v>1292</v>
      </c>
      <c r="S366">
        <v>13.266666666666667</v>
      </c>
      <c r="T366">
        <v>125</v>
      </c>
      <c r="U366">
        <v>540</v>
      </c>
    </row>
    <row r="367" spans="1:21">
      <c r="A367">
        <v>44837</v>
      </c>
      <c r="B367" t="s">
        <v>596</v>
      </c>
      <c r="C367" t="s">
        <v>597</v>
      </c>
      <c r="D367" t="s">
        <v>163</v>
      </c>
      <c r="E367" t="s">
        <v>171</v>
      </c>
      <c r="F367" t="s">
        <v>1293</v>
      </c>
      <c r="G367">
        <v>0.35555555555555557</v>
      </c>
      <c r="H367" t="s">
        <v>1293</v>
      </c>
      <c r="I367">
        <v>0.84861111111111109</v>
      </c>
      <c r="J367">
        <v>0</v>
      </c>
      <c r="K367">
        <v>0</v>
      </c>
      <c r="L367">
        <v>150</v>
      </c>
      <c r="M367">
        <v>0</v>
      </c>
      <c r="N367">
        <v>0</v>
      </c>
      <c r="O367">
        <v>0</v>
      </c>
      <c r="P367" t="s">
        <v>1292</v>
      </c>
      <c r="S367">
        <v>11.833333333333334</v>
      </c>
      <c r="T367">
        <v>125</v>
      </c>
      <c r="U367">
        <v>275</v>
      </c>
    </row>
    <row r="368" spans="1:21">
      <c r="A368">
        <v>44838</v>
      </c>
      <c r="B368" t="s">
        <v>596</v>
      </c>
      <c r="C368" t="s">
        <v>597</v>
      </c>
      <c r="D368" t="s">
        <v>163</v>
      </c>
      <c r="E368" t="s">
        <v>171</v>
      </c>
      <c r="F368" t="s">
        <v>1293</v>
      </c>
      <c r="G368">
        <v>0.31111111111111112</v>
      </c>
      <c r="H368" t="s">
        <v>1294</v>
      </c>
      <c r="I368">
        <v>0.91527777777777775</v>
      </c>
      <c r="J368">
        <v>0</v>
      </c>
      <c r="K368">
        <v>0</v>
      </c>
      <c r="L368">
        <v>150</v>
      </c>
      <c r="M368">
        <v>0</v>
      </c>
      <c r="N368">
        <v>0</v>
      </c>
      <c r="O368">
        <v>0</v>
      </c>
      <c r="P368" t="s">
        <v>1292</v>
      </c>
      <c r="S368">
        <v>14.5</v>
      </c>
      <c r="T368">
        <v>125</v>
      </c>
      <c r="U368">
        <v>275</v>
      </c>
    </row>
    <row r="369" spans="1:21">
      <c r="A369">
        <v>44839</v>
      </c>
      <c r="B369" t="s">
        <v>596</v>
      </c>
      <c r="C369" t="s">
        <v>597</v>
      </c>
      <c r="D369" t="s">
        <v>163</v>
      </c>
      <c r="E369" t="s">
        <v>171</v>
      </c>
      <c r="F369" t="s">
        <v>1295</v>
      </c>
      <c r="G369">
        <v>0.42916666666666664</v>
      </c>
      <c r="H369" t="s">
        <v>1296</v>
      </c>
      <c r="I369">
        <v>0.84236111111111112</v>
      </c>
      <c r="J369">
        <v>0</v>
      </c>
      <c r="K369">
        <v>0</v>
      </c>
      <c r="L369">
        <v>150</v>
      </c>
      <c r="M369">
        <v>0</v>
      </c>
      <c r="N369">
        <v>0</v>
      </c>
      <c r="O369">
        <v>0</v>
      </c>
      <c r="P369" t="s">
        <v>1292</v>
      </c>
      <c r="S369">
        <v>9.9166666666666679</v>
      </c>
      <c r="T369">
        <v>125</v>
      </c>
      <c r="U369">
        <v>275</v>
      </c>
    </row>
    <row r="370" spans="1:21">
      <c r="A370">
        <v>44840</v>
      </c>
      <c r="B370" t="s">
        <v>596</v>
      </c>
      <c r="C370" t="s">
        <v>597</v>
      </c>
      <c r="D370" t="s">
        <v>163</v>
      </c>
      <c r="E370" t="s">
        <v>171</v>
      </c>
      <c r="F370" t="s">
        <v>1293</v>
      </c>
      <c r="G370">
        <v>0.36319444444444443</v>
      </c>
      <c r="H370" t="s">
        <v>1296</v>
      </c>
      <c r="I370">
        <v>0.86250000000000004</v>
      </c>
      <c r="J370">
        <v>300</v>
      </c>
      <c r="K370">
        <v>0</v>
      </c>
      <c r="L370">
        <v>150</v>
      </c>
      <c r="M370">
        <v>0</v>
      </c>
      <c r="N370">
        <v>0</v>
      </c>
      <c r="O370">
        <v>0</v>
      </c>
      <c r="P370" t="s">
        <v>1292</v>
      </c>
      <c r="S370">
        <v>11.983333333333333</v>
      </c>
      <c r="T370">
        <v>125</v>
      </c>
      <c r="U370">
        <v>575</v>
      </c>
    </row>
    <row r="371" spans="1:21">
      <c r="A371">
        <v>44841</v>
      </c>
      <c r="B371" t="s">
        <v>596</v>
      </c>
      <c r="C371" t="s">
        <v>597</v>
      </c>
      <c r="D371" t="s">
        <v>163</v>
      </c>
      <c r="E371" t="s">
        <v>171</v>
      </c>
      <c r="F371" t="s">
        <v>1293</v>
      </c>
      <c r="G371">
        <v>0.3298611111111111</v>
      </c>
      <c r="H371" t="s">
        <v>1297</v>
      </c>
      <c r="I371">
        <v>0.86250000000000004</v>
      </c>
      <c r="J371">
        <v>0</v>
      </c>
      <c r="K371">
        <v>0</v>
      </c>
      <c r="L371">
        <v>150</v>
      </c>
      <c r="M371">
        <v>0</v>
      </c>
      <c r="N371">
        <v>0</v>
      </c>
      <c r="O371">
        <v>0</v>
      </c>
      <c r="P371" t="s">
        <v>1292</v>
      </c>
      <c r="S371">
        <v>12.783333333333333</v>
      </c>
      <c r="T371">
        <v>125</v>
      </c>
      <c r="U371">
        <v>275</v>
      </c>
    </row>
    <row r="372" spans="1:21">
      <c r="A372">
        <v>44842</v>
      </c>
      <c r="B372" t="s">
        <v>596</v>
      </c>
      <c r="C372" t="s">
        <v>597</v>
      </c>
      <c r="D372" t="s">
        <v>163</v>
      </c>
      <c r="E372" t="s">
        <v>171</v>
      </c>
      <c r="F372" t="s">
        <v>1293</v>
      </c>
      <c r="G372">
        <v>0.33958333333333335</v>
      </c>
      <c r="H372" t="s">
        <v>1296</v>
      </c>
      <c r="I372">
        <v>0.81805555555555554</v>
      </c>
      <c r="J372">
        <v>0</v>
      </c>
      <c r="K372">
        <v>0</v>
      </c>
      <c r="L372">
        <v>150</v>
      </c>
      <c r="M372">
        <v>0</v>
      </c>
      <c r="N372">
        <v>0</v>
      </c>
      <c r="O372">
        <v>0</v>
      </c>
      <c r="P372" t="s">
        <v>1292</v>
      </c>
      <c r="S372">
        <v>11.483333333333334</v>
      </c>
      <c r="T372">
        <v>125</v>
      </c>
      <c r="U372">
        <v>275</v>
      </c>
    </row>
    <row r="373" spans="1:21">
      <c r="A373">
        <v>44844</v>
      </c>
      <c r="B373" t="s">
        <v>596</v>
      </c>
      <c r="C373" t="s">
        <v>597</v>
      </c>
      <c r="D373" t="s">
        <v>163</v>
      </c>
      <c r="E373" t="s">
        <v>171</v>
      </c>
      <c r="F373" t="s">
        <v>1293</v>
      </c>
      <c r="G373">
        <v>0.33888888888888891</v>
      </c>
      <c r="H373" t="s">
        <v>1293</v>
      </c>
      <c r="I373">
        <v>0.87638888888888888</v>
      </c>
      <c r="J373">
        <v>250</v>
      </c>
      <c r="K373">
        <v>0</v>
      </c>
      <c r="L373">
        <v>150</v>
      </c>
      <c r="M373">
        <v>0</v>
      </c>
      <c r="N373">
        <v>0</v>
      </c>
      <c r="O373">
        <v>0</v>
      </c>
      <c r="P373" t="s">
        <v>1292</v>
      </c>
      <c r="S373">
        <v>12.900000000000002</v>
      </c>
      <c r="T373">
        <v>125</v>
      </c>
      <c r="U373">
        <v>525</v>
      </c>
    </row>
    <row r="374" spans="1:21">
      <c r="A374">
        <v>44845</v>
      </c>
      <c r="B374" t="s">
        <v>596</v>
      </c>
      <c r="C374" t="s">
        <v>597</v>
      </c>
      <c r="D374" t="s">
        <v>163</v>
      </c>
      <c r="E374" t="s">
        <v>171</v>
      </c>
      <c r="F374" t="s">
        <v>1293</v>
      </c>
      <c r="G374">
        <v>0.32777777777777778</v>
      </c>
      <c r="H374" t="s">
        <v>1293</v>
      </c>
      <c r="I374">
        <v>0.87083333333333335</v>
      </c>
      <c r="J374">
        <v>0</v>
      </c>
      <c r="K374">
        <v>0</v>
      </c>
      <c r="L374">
        <v>150</v>
      </c>
      <c r="M374">
        <v>0</v>
      </c>
      <c r="N374">
        <v>0</v>
      </c>
      <c r="O374">
        <v>0</v>
      </c>
      <c r="P374" t="s">
        <v>1292</v>
      </c>
      <c r="S374">
        <v>13.033333333333335</v>
      </c>
      <c r="T374">
        <v>125</v>
      </c>
      <c r="U374">
        <v>275</v>
      </c>
    </row>
    <row r="375" spans="1:21">
      <c r="A375">
        <v>44846</v>
      </c>
      <c r="B375" t="s">
        <v>596</v>
      </c>
      <c r="C375" t="s">
        <v>597</v>
      </c>
      <c r="D375" t="s">
        <v>163</v>
      </c>
      <c r="E375" t="s">
        <v>171</v>
      </c>
      <c r="F375" t="s">
        <v>1293</v>
      </c>
      <c r="G375">
        <v>0.31319444444444444</v>
      </c>
      <c r="H375" t="s">
        <v>1298</v>
      </c>
      <c r="I375">
        <v>0.86944444444444446</v>
      </c>
      <c r="J375">
        <v>0</v>
      </c>
      <c r="K375">
        <v>0</v>
      </c>
      <c r="L375">
        <v>150</v>
      </c>
      <c r="M375">
        <v>0</v>
      </c>
      <c r="N375">
        <v>0</v>
      </c>
      <c r="O375">
        <v>0</v>
      </c>
      <c r="P375" t="s">
        <v>1292</v>
      </c>
      <c r="S375">
        <v>13.350000000000001</v>
      </c>
      <c r="T375">
        <v>125</v>
      </c>
      <c r="U375">
        <v>275</v>
      </c>
    </row>
    <row r="376" spans="1:21">
      <c r="A376">
        <v>44847</v>
      </c>
      <c r="B376" t="s">
        <v>596</v>
      </c>
      <c r="C376" t="s">
        <v>597</v>
      </c>
      <c r="D376" t="s">
        <v>163</v>
      </c>
      <c r="E376" t="s">
        <v>171</v>
      </c>
      <c r="F376" t="s">
        <v>1296</v>
      </c>
      <c r="G376">
        <v>0.33055555555555555</v>
      </c>
      <c r="H376" t="s">
        <v>1298</v>
      </c>
      <c r="I376">
        <v>0.88124999999999998</v>
      </c>
      <c r="J376">
        <v>0</v>
      </c>
      <c r="K376">
        <v>0</v>
      </c>
      <c r="L376">
        <v>150</v>
      </c>
      <c r="M376">
        <v>0</v>
      </c>
      <c r="N376">
        <v>0</v>
      </c>
      <c r="O376">
        <v>0</v>
      </c>
      <c r="P376" t="s">
        <v>1292</v>
      </c>
      <c r="S376">
        <v>13.216666666666665</v>
      </c>
      <c r="T376">
        <v>125</v>
      </c>
      <c r="U376">
        <v>275</v>
      </c>
    </row>
    <row r="377" spans="1:21">
      <c r="A377">
        <v>44848</v>
      </c>
      <c r="B377" t="s">
        <v>596</v>
      </c>
      <c r="C377" t="s">
        <v>597</v>
      </c>
      <c r="D377" t="s">
        <v>163</v>
      </c>
      <c r="E377" t="s">
        <v>171</v>
      </c>
      <c r="F377" t="s">
        <v>1293</v>
      </c>
      <c r="G377">
        <v>0.31597222222222221</v>
      </c>
      <c r="H377" t="s">
        <v>1296</v>
      </c>
      <c r="I377">
        <v>0.84305555555555556</v>
      </c>
      <c r="J377">
        <v>0</v>
      </c>
      <c r="K377">
        <v>0</v>
      </c>
      <c r="L377">
        <v>150</v>
      </c>
      <c r="M377">
        <v>0</v>
      </c>
      <c r="N377">
        <v>0</v>
      </c>
      <c r="O377">
        <v>0</v>
      </c>
      <c r="P377" t="s">
        <v>1292</v>
      </c>
      <c r="S377">
        <v>12.65</v>
      </c>
      <c r="T377">
        <v>125</v>
      </c>
      <c r="U377">
        <v>275</v>
      </c>
    </row>
    <row r="378" spans="1:21">
      <c r="A378">
        <v>44849</v>
      </c>
      <c r="B378" t="s">
        <v>596</v>
      </c>
      <c r="C378" t="s">
        <v>597</v>
      </c>
      <c r="D378" t="s">
        <v>163</v>
      </c>
      <c r="E378" t="s">
        <v>171</v>
      </c>
      <c r="F378" t="s">
        <v>1293</v>
      </c>
      <c r="G378">
        <v>0.3298611111111111</v>
      </c>
      <c r="H378" t="s">
        <v>1291</v>
      </c>
      <c r="I378">
        <v>0.80486111111111114</v>
      </c>
      <c r="J378">
        <v>0</v>
      </c>
      <c r="K378">
        <v>0</v>
      </c>
      <c r="L378">
        <v>150</v>
      </c>
      <c r="M378">
        <v>0</v>
      </c>
      <c r="N378">
        <v>0</v>
      </c>
      <c r="O378">
        <v>0</v>
      </c>
      <c r="P378" t="s">
        <v>1292</v>
      </c>
      <c r="S378">
        <v>11.399999999999999</v>
      </c>
      <c r="T378">
        <v>125</v>
      </c>
      <c r="U378">
        <v>275</v>
      </c>
    </row>
    <row r="379" spans="1:21">
      <c r="A379">
        <v>44835</v>
      </c>
      <c r="B379" t="s">
        <v>51</v>
      </c>
      <c r="C379" t="s">
        <v>611</v>
      </c>
      <c r="D379" t="s">
        <v>163</v>
      </c>
      <c r="E379" t="s">
        <v>167</v>
      </c>
      <c r="F379" t="s">
        <v>205</v>
      </c>
      <c r="G379">
        <v>0.40555555555555556</v>
      </c>
      <c r="H379" t="s">
        <v>204</v>
      </c>
      <c r="I379">
        <v>0.86111111111111116</v>
      </c>
      <c r="J379">
        <v>210</v>
      </c>
      <c r="K379">
        <v>0</v>
      </c>
      <c r="L379">
        <v>0</v>
      </c>
      <c r="M379">
        <v>200</v>
      </c>
      <c r="N379">
        <v>0</v>
      </c>
      <c r="O379">
        <v>0</v>
      </c>
      <c r="P379" t="s">
        <v>202</v>
      </c>
      <c r="S379">
        <v>10.933333333333332</v>
      </c>
      <c r="T379">
        <v>200</v>
      </c>
      <c r="U379">
        <v>410</v>
      </c>
    </row>
    <row r="380" spans="1:21">
      <c r="A380">
        <v>44837</v>
      </c>
      <c r="B380" t="s">
        <v>51</v>
      </c>
      <c r="C380" t="s">
        <v>611</v>
      </c>
      <c r="D380" t="s">
        <v>163</v>
      </c>
      <c r="E380" t="s">
        <v>167</v>
      </c>
      <c r="F380" t="s">
        <v>204</v>
      </c>
      <c r="G380">
        <v>0.40555555555555556</v>
      </c>
      <c r="H380" t="s">
        <v>204</v>
      </c>
      <c r="I380">
        <v>0.85555555555555551</v>
      </c>
      <c r="J380">
        <v>0</v>
      </c>
      <c r="K380">
        <v>0</v>
      </c>
      <c r="L380">
        <v>0</v>
      </c>
      <c r="M380">
        <v>200</v>
      </c>
      <c r="N380">
        <v>80</v>
      </c>
      <c r="O380">
        <v>0</v>
      </c>
      <c r="P380" t="s">
        <v>202</v>
      </c>
      <c r="S380">
        <v>10.799999999999999</v>
      </c>
      <c r="T380">
        <v>200</v>
      </c>
      <c r="U380">
        <v>280</v>
      </c>
    </row>
    <row r="381" spans="1:21">
      <c r="A381">
        <v>44838</v>
      </c>
      <c r="B381" t="s">
        <v>51</v>
      </c>
      <c r="C381" t="s">
        <v>611</v>
      </c>
      <c r="D381" t="s">
        <v>163</v>
      </c>
      <c r="E381" t="s">
        <v>167</v>
      </c>
      <c r="F381" t="s">
        <v>1299</v>
      </c>
      <c r="G381">
        <v>0.33958333333333335</v>
      </c>
      <c r="H381" t="s">
        <v>203</v>
      </c>
      <c r="I381">
        <v>0.38750000000000001</v>
      </c>
      <c r="J381">
        <v>550</v>
      </c>
      <c r="K381">
        <v>0</v>
      </c>
      <c r="L381">
        <v>0</v>
      </c>
      <c r="M381">
        <v>200</v>
      </c>
      <c r="N381">
        <v>0</v>
      </c>
      <c r="O381">
        <v>0</v>
      </c>
      <c r="P381" t="s">
        <v>202</v>
      </c>
      <c r="S381">
        <v>1.1500000000000012</v>
      </c>
      <c r="T381">
        <v>0</v>
      </c>
      <c r="U381">
        <v>550</v>
      </c>
    </row>
    <row r="382" spans="1:21">
      <c r="A382">
        <v>44840</v>
      </c>
      <c r="B382" t="s">
        <v>51</v>
      </c>
      <c r="C382" t="s">
        <v>611</v>
      </c>
      <c r="D382" t="s">
        <v>163</v>
      </c>
      <c r="E382" t="s">
        <v>167</v>
      </c>
      <c r="F382" t="s">
        <v>1300</v>
      </c>
      <c r="G382">
        <v>0.31319444444444444</v>
      </c>
      <c r="H382" t="s">
        <v>1301</v>
      </c>
      <c r="I382">
        <v>0.3611111111111111</v>
      </c>
      <c r="J382">
        <v>0</v>
      </c>
      <c r="K382">
        <v>0</v>
      </c>
      <c r="L382">
        <v>0</v>
      </c>
      <c r="M382">
        <v>200</v>
      </c>
      <c r="N382">
        <v>0</v>
      </c>
      <c r="O382">
        <v>0</v>
      </c>
      <c r="P382" t="s">
        <v>202</v>
      </c>
      <c r="S382">
        <v>1.1499999999999999</v>
      </c>
      <c r="T382">
        <v>0</v>
      </c>
      <c r="U382">
        <v>0</v>
      </c>
    </row>
    <row r="383" spans="1:21">
      <c r="A383">
        <v>44841</v>
      </c>
      <c r="B383" t="s">
        <v>51</v>
      </c>
      <c r="C383" t="s">
        <v>611</v>
      </c>
      <c r="D383" t="s">
        <v>163</v>
      </c>
      <c r="E383" t="s">
        <v>167</v>
      </c>
      <c r="F383" t="s">
        <v>1301</v>
      </c>
      <c r="G383">
        <v>0.3611111111111111</v>
      </c>
      <c r="H383" t="s">
        <v>1301</v>
      </c>
      <c r="I383">
        <v>0.3888888888888889</v>
      </c>
      <c r="J383">
        <v>110</v>
      </c>
      <c r="K383">
        <v>0</v>
      </c>
      <c r="L383">
        <v>0</v>
      </c>
      <c r="M383">
        <v>200</v>
      </c>
      <c r="N383">
        <v>0</v>
      </c>
      <c r="O383">
        <v>0</v>
      </c>
      <c r="P383" t="s">
        <v>202</v>
      </c>
      <c r="S383">
        <v>0.66666666666666696</v>
      </c>
      <c r="T383">
        <v>0</v>
      </c>
      <c r="U383">
        <v>110</v>
      </c>
    </row>
    <row r="384" spans="1:21">
      <c r="A384">
        <v>44842</v>
      </c>
      <c r="B384" t="s">
        <v>51</v>
      </c>
      <c r="C384" t="s">
        <v>611</v>
      </c>
      <c r="D384" t="s">
        <v>163</v>
      </c>
      <c r="E384" t="s">
        <v>167</v>
      </c>
      <c r="F384" t="s">
        <v>1301</v>
      </c>
      <c r="G384">
        <v>0.3888888888888889</v>
      </c>
      <c r="H384" t="s">
        <v>203</v>
      </c>
      <c r="I384">
        <v>0.3659722222222222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 t="s">
        <v>202</v>
      </c>
      <c r="S384">
        <v>23.45</v>
      </c>
      <c r="T384">
        <v>200</v>
      </c>
      <c r="U384">
        <v>200</v>
      </c>
    </row>
    <row r="385" spans="1:21">
      <c r="A385">
        <v>44844</v>
      </c>
      <c r="B385" t="s">
        <v>51</v>
      </c>
      <c r="C385" t="s">
        <v>611</v>
      </c>
      <c r="D385" t="s">
        <v>163</v>
      </c>
      <c r="E385" t="s">
        <v>167</v>
      </c>
      <c r="F385" t="s">
        <v>203</v>
      </c>
      <c r="G385">
        <v>0.3659722222222222</v>
      </c>
      <c r="H385" t="s">
        <v>203</v>
      </c>
      <c r="I385">
        <v>0.85416666666666663</v>
      </c>
      <c r="J385">
        <v>150</v>
      </c>
      <c r="K385">
        <v>0</v>
      </c>
      <c r="L385">
        <v>0</v>
      </c>
      <c r="M385">
        <v>200</v>
      </c>
      <c r="N385">
        <v>100</v>
      </c>
      <c r="O385">
        <v>0</v>
      </c>
      <c r="P385" t="s">
        <v>202</v>
      </c>
      <c r="S385">
        <v>11.716666666666667</v>
      </c>
      <c r="T385">
        <v>200</v>
      </c>
      <c r="U385">
        <v>450</v>
      </c>
    </row>
    <row r="386" spans="1:21">
      <c r="A386">
        <v>44845</v>
      </c>
      <c r="B386" t="s">
        <v>51</v>
      </c>
      <c r="C386" t="s">
        <v>611</v>
      </c>
      <c r="D386" t="s">
        <v>163</v>
      </c>
      <c r="E386" t="s">
        <v>167</v>
      </c>
      <c r="F386" t="s">
        <v>203</v>
      </c>
      <c r="G386">
        <v>0.33888888888888891</v>
      </c>
      <c r="H386" t="s">
        <v>1302</v>
      </c>
      <c r="I386">
        <v>0.85416666666666663</v>
      </c>
      <c r="J386">
        <v>0</v>
      </c>
      <c r="K386">
        <v>0</v>
      </c>
      <c r="L386">
        <v>0</v>
      </c>
      <c r="M386">
        <v>200</v>
      </c>
      <c r="N386">
        <v>0</v>
      </c>
      <c r="O386">
        <v>0</v>
      </c>
      <c r="P386" t="s">
        <v>202</v>
      </c>
      <c r="S386">
        <v>12.366666666666665</v>
      </c>
      <c r="T386">
        <v>200</v>
      </c>
      <c r="U386">
        <v>200</v>
      </c>
    </row>
    <row r="387" spans="1:21">
      <c r="A387">
        <v>44846</v>
      </c>
      <c r="B387" t="s">
        <v>51</v>
      </c>
      <c r="C387" t="s">
        <v>611</v>
      </c>
      <c r="D387" t="s">
        <v>163</v>
      </c>
      <c r="E387" t="s">
        <v>167</v>
      </c>
      <c r="F387" t="s">
        <v>205</v>
      </c>
      <c r="G387">
        <v>0.51736111111111116</v>
      </c>
      <c r="H387" t="s">
        <v>1303</v>
      </c>
      <c r="I387">
        <v>0.85486111111111107</v>
      </c>
      <c r="J387">
        <v>410</v>
      </c>
      <c r="K387">
        <v>0</v>
      </c>
      <c r="L387">
        <v>0</v>
      </c>
      <c r="M387">
        <v>200</v>
      </c>
      <c r="N387">
        <v>0</v>
      </c>
      <c r="O387">
        <v>0</v>
      </c>
      <c r="P387" t="s">
        <v>202</v>
      </c>
      <c r="S387">
        <v>8.1000000000000014</v>
      </c>
      <c r="T387">
        <v>200</v>
      </c>
      <c r="U387">
        <v>610</v>
      </c>
    </row>
    <row r="388" spans="1:21">
      <c r="A388">
        <v>44847</v>
      </c>
      <c r="B388" t="s">
        <v>51</v>
      </c>
      <c r="C388" t="s">
        <v>611</v>
      </c>
      <c r="D388" t="s">
        <v>163</v>
      </c>
      <c r="E388" t="s">
        <v>167</v>
      </c>
      <c r="F388" t="s">
        <v>1304</v>
      </c>
      <c r="G388">
        <v>0.39791666666666664</v>
      </c>
      <c r="H388" t="s">
        <v>1305</v>
      </c>
      <c r="I388">
        <v>0.33680555555555558</v>
      </c>
      <c r="J388">
        <v>310</v>
      </c>
      <c r="K388">
        <v>0</v>
      </c>
      <c r="L388">
        <v>0</v>
      </c>
      <c r="M388">
        <v>200</v>
      </c>
      <c r="N388">
        <v>500</v>
      </c>
      <c r="O388">
        <v>0</v>
      </c>
      <c r="P388" t="s">
        <v>202</v>
      </c>
      <c r="S388">
        <v>22.533333333333331</v>
      </c>
      <c r="T388">
        <v>200</v>
      </c>
      <c r="U388">
        <v>1010</v>
      </c>
    </row>
    <row r="389" spans="1:21">
      <c r="A389">
        <v>44848</v>
      </c>
      <c r="B389" t="s">
        <v>51</v>
      </c>
      <c r="C389" t="s">
        <v>611</v>
      </c>
      <c r="D389" t="s">
        <v>163</v>
      </c>
      <c r="E389" t="s">
        <v>167</v>
      </c>
      <c r="F389" t="s">
        <v>1305</v>
      </c>
      <c r="G389">
        <v>0.33680555555555558</v>
      </c>
      <c r="H389" t="s">
        <v>204</v>
      </c>
      <c r="I389">
        <v>0.87777777777777777</v>
      </c>
      <c r="J389">
        <v>0</v>
      </c>
      <c r="K389">
        <v>0</v>
      </c>
      <c r="L389">
        <v>0</v>
      </c>
      <c r="M389">
        <v>200</v>
      </c>
      <c r="N389">
        <v>0</v>
      </c>
      <c r="O389">
        <v>0</v>
      </c>
      <c r="P389" t="s">
        <v>202</v>
      </c>
      <c r="S389">
        <v>12.983333333333333</v>
      </c>
      <c r="T389">
        <v>200</v>
      </c>
      <c r="U389">
        <v>200</v>
      </c>
    </row>
    <row r="390" spans="1:21">
      <c r="A390">
        <v>44849</v>
      </c>
      <c r="B390" t="s">
        <v>51</v>
      </c>
      <c r="C390" t="s">
        <v>611</v>
      </c>
      <c r="D390" t="s">
        <v>163</v>
      </c>
      <c r="E390" t="s">
        <v>167</v>
      </c>
      <c r="F390" t="s">
        <v>1306</v>
      </c>
      <c r="G390">
        <v>0.3298611111111111</v>
      </c>
      <c r="H390" t="s">
        <v>1307</v>
      </c>
      <c r="I390">
        <v>0.85486111111111107</v>
      </c>
      <c r="J390">
        <v>300</v>
      </c>
      <c r="K390">
        <v>0</v>
      </c>
      <c r="L390">
        <v>0</v>
      </c>
      <c r="M390">
        <v>200</v>
      </c>
      <c r="N390">
        <v>0</v>
      </c>
      <c r="O390">
        <v>0</v>
      </c>
      <c r="P390" t="s">
        <v>202</v>
      </c>
      <c r="S390">
        <v>12.599999999999998</v>
      </c>
      <c r="T390">
        <v>200</v>
      </c>
      <c r="U390">
        <v>500</v>
      </c>
    </row>
    <row r="391" spans="1:21">
      <c r="A391">
        <v>44835</v>
      </c>
      <c r="B391" t="s">
        <v>621</v>
      </c>
      <c r="C391" t="s">
        <v>65</v>
      </c>
      <c r="D391" t="s">
        <v>163</v>
      </c>
      <c r="E391" t="s">
        <v>167</v>
      </c>
      <c r="F391" t="s">
        <v>206</v>
      </c>
      <c r="G391">
        <v>0.43472222222222223</v>
      </c>
      <c r="H391" t="s">
        <v>1308</v>
      </c>
      <c r="I391">
        <v>0.85</v>
      </c>
      <c r="J391">
        <v>0</v>
      </c>
      <c r="K391">
        <v>0</v>
      </c>
      <c r="L391">
        <v>0</v>
      </c>
      <c r="M391">
        <v>200</v>
      </c>
      <c r="N391">
        <v>0</v>
      </c>
      <c r="O391">
        <v>0</v>
      </c>
      <c r="P391" t="s">
        <v>207</v>
      </c>
      <c r="S391">
        <v>9.966666666666665</v>
      </c>
      <c r="T391">
        <v>200</v>
      </c>
      <c r="U391">
        <v>200</v>
      </c>
    </row>
    <row r="392" spans="1:21">
      <c r="A392">
        <v>44836</v>
      </c>
      <c r="B392" t="s">
        <v>621</v>
      </c>
      <c r="C392" t="s">
        <v>65</v>
      </c>
      <c r="D392" t="s">
        <v>163</v>
      </c>
      <c r="E392" t="s">
        <v>167</v>
      </c>
      <c r="F392" t="s">
        <v>1309</v>
      </c>
      <c r="G392">
        <v>0.69722222222222219</v>
      </c>
      <c r="H392" t="s">
        <v>206</v>
      </c>
      <c r="I392">
        <v>0.88888888888888884</v>
      </c>
      <c r="J392">
        <v>0</v>
      </c>
      <c r="K392">
        <v>0</v>
      </c>
      <c r="L392">
        <v>0</v>
      </c>
      <c r="M392">
        <v>140</v>
      </c>
      <c r="N392">
        <v>0</v>
      </c>
      <c r="O392">
        <v>0</v>
      </c>
      <c r="P392" t="s">
        <v>207</v>
      </c>
      <c r="S392">
        <v>4.5999999999999996</v>
      </c>
      <c r="T392">
        <v>100</v>
      </c>
      <c r="U392">
        <v>100</v>
      </c>
    </row>
    <row r="393" spans="1:21">
      <c r="A393">
        <v>44837</v>
      </c>
      <c r="B393" t="s">
        <v>621</v>
      </c>
      <c r="C393" t="s">
        <v>65</v>
      </c>
      <c r="D393" t="s">
        <v>163</v>
      </c>
      <c r="E393" t="s">
        <v>167</v>
      </c>
      <c r="F393" t="s">
        <v>1309</v>
      </c>
      <c r="G393">
        <v>0.40486111111111112</v>
      </c>
      <c r="H393" t="s">
        <v>206</v>
      </c>
      <c r="I393">
        <v>0.87708333333333333</v>
      </c>
      <c r="J393">
        <v>0</v>
      </c>
      <c r="K393">
        <v>0</v>
      </c>
      <c r="L393">
        <v>390</v>
      </c>
      <c r="M393">
        <v>200</v>
      </c>
      <c r="N393">
        <v>0</v>
      </c>
      <c r="O393">
        <v>0</v>
      </c>
      <c r="P393" t="s">
        <v>207</v>
      </c>
      <c r="S393">
        <v>11.333333333333332</v>
      </c>
      <c r="T393">
        <v>200</v>
      </c>
      <c r="U393">
        <v>590</v>
      </c>
    </row>
    <row r="394" spans="1:21">
      <c r="A394">
        <v>44838</v>
      </c>
      <c r="B394" t="s">
        <v>621</v>
      </c>
      <c r="C394" t="s">
        <v>65</v>
      </c>
      <c r="D394" t="s">
        <v>163</v>
      </c>
      <c r="E394" t="s">
        <v>167</v>
      </c>
      <c r="F394" t="s">
        <v>1310</v>
      </c>
      <c r="G394">
        <v>0.40069444444444446</v>
      </c>
      <c r="H394" t="s">
        <v>206</v>
      </c>
      <c r="I394">
        <v>0.88194444444444442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 t="s">
        <v>207</v>
      </c>
      <c r="S394">
        <v>11.55</v>
      </c>
      <c r="T394">
        <v>200</v>
      </c>
      <c r="U394">
        <v>200</v>
      </c>
    </row>
    <row r="395" spans="1:21">
      <c r="A395">
        <v>44840</v>
      </c>
      <c r="B395" t="s">
        <v>621</v>
      </c>
      <c r="C395" t="s">
        <v>65</v>
      </c>
      <c r="D395" t="s">
        <v>163</v>
      </c>
      <c r="E395" t="s">
        <v>167</v>
      </c>
      <c r="F395" t="s">
        <v>1310</v>
      </c>
      <c r="G395">
        <v>0.34791666666666665</v>
      </c>
      <c r="H395" t="s">
        <v>1311</v>
      </c>
      <c r="I395">
        <v>0.92638888888888893</v>
      </c>
      <c r="J395">
        <v>220</v>
      </c>
      <c r="K395">
        <v>0</v>
      </c>
      <c r="L395">
        <v>0</v>
      </c>
      <c r="M395">
        <v>200</v>
      </c>
      <c r="N395">
        <v>0</v>
      </c>
      <c r="O395">
        <v>0</v>
      </c>
      <c r="P395" t="s">
        <v>207</v>
      </c>
      <c r="S395">
        <v>13.883333333333333</v>
      </c>
      <c r="T395">
        <v>200</v>
      </c>
      <c r="U395">
        <v>420</v>
      </c>
    </row>
    <row r="396" spans="1:21">
      <c r="A396">
        <v>44841</v>
      </c>
      <c r="B396" t="s">
        <v>621</v>
      </c>
      <c r="C396" t="s">
        <v>65</v>
      </c>
      <c r="D396" t="s">
        <v>163</v>
      </c>
      <c r="E396" t="s">
        <v>167</v>
      </c>
      <c r="F396" t="s">
        <v>1310</v>
      </c>
      <c r="G396">
        <v>0.38472222222222224</v>
      </c>
      <c r="H396" t="s">
        <v>206</v>
      </c>
      <c r="I396">
        <v>0.92500000000000004</v>
      </c>
      <c r="J396">
        <v>0</v>
      </c>
      <c r="K396">
        <v>0</v>
      </c>
      <c r="L396">
        <v>80</v>
      </c>
      <c r="M396">
        <v>0</v>
      </c>
      <c r="N396">
        <v>0</v>
      </c>
      <c r="O396">
        <v>0</v>
      </c>
      <c r="P396" t="s">
        <v>207</v>
      </c>
      <c r="S396">
        <v>12.966666666666665</v>
      </c>
      <c r="T396">
        <v>200</v>
      </c>
      <c r="U396">
        <v>280</v>
      </c>
    </row>
    <row r="397" spans="1:21">
      <c r="A397">
        <v>44842</v>
      </c>
      <c r="B397" t="s">
        <v>621</v>
      </c>
      <c r="C397" t="s">
        <v>65</v>
      </c>
      <c r="D397" t="s">
        <v>163</v>
      </c>
      <c r="E397" t="s">
        <v>167</v>
      </c>
      <c r="F397" t="s">
        <v>1312</v>
      </c>
      <c r="G397">
        <v>0.3215277777777778</v>
      </c>
      <c r="H397" t="s">
        <v>1311</v>
      </c>
      <c r="I397">
        <v>0.91111111111111109</v>
      </c>
      <c r="J397">
        <v>200</v>
      </c>
      <c r="K397">
        <v>0</v>
      </c>
      <c r="L397">
        <v>0</v>
      </c>
      <c r="M397">
        <v>200</v>
      </c>
      <c r="N397">
        <v>0</v>
      </c>
      <c r="O397">
        <v>0</v>
      </c>
      <c r="P397" t="s">
        <v>207</v>
      </c>
      <c r="S397">
        <v>14.15</v>
      </c>
      <c r="T397">
        <v>200</v>
      </c>
      <c r="U397">
        <v>400</v>
      </c>
    </row>
    <row r="398" spans="1:21">
      <c r="A398">
        <v>44844</v>
      </c>
      <c r="B398" t="s">
        <v>621</v>
      </c>
      <c r="C398" t="s">
        <v>65</v>
      </c>
      <c r="D398" t="s">
        <v>163</v>
      </c>
      <c r="E398" t="s">
        <v>167</v>
      </c>
      <c r="F398" t="s">
        <v>1313</v>
      </c>
      <c r="G398">
        <v>0.32500000000000001</v>
      </c>
      <c r="H398" t="s">
        <v>1314</v>
      </c>
      <c r="I398">
        <v>0.91527777777777775</v>
      </c>
      <c r="J398">
        <v>0</v>
      </c>
      <c r="K398">
        <v>0</v>
      </c>
      <c r="L398">
        <v>390</v>
      </c>
      <c r="M398">
        <v>0</v>
      </c>
      <c r="N398">
        <v>0</v>
      </c>
      <c r="O398">
        <v>0</v>
      </c>
      <c r="P398" t="s">
        <v>207</v>
      </c>
      <c r="S398">
        <v>14.166666666666664</v>
      </c>
      <c r="T398">
        <v>200</v>
      </c>
      <c r="U398">
        <v>590</v>
      </c>
    </row>
    <row r="399" spans="1:21">
      <c r="A399">
        <v>44845</v>
      </c>
      <c r="B399" t="s">
        <v>621</v>
      </c>
      <c r="C399" t="s">
        <v>65</v>
      </c>
      <c r="D399" t="s">
        <v>163</v>
      </c>
      <c r="E399" t="s">
        <v>167</v>
      </c>
      <c r="F399" t="s">
        <v>1315</v>
      </c>
      <c r="G399">
        <v>0.42916666666666664</v>
      </c>
      <c r="H399" t="s">
        <v>1316</v>
      </c>
      <c r="I399">
        <v>0.54305555555555551</v>
      </c>
      <c r="J399">
        <v>400</v>
      </c>
      <c r="K399">
        <v>0</v>
      </c>
      <c r="L399">
        <v>0</v>
      </c>
      <c r="M399">
        <v>200</v>
      </c>
      <c r="N399">
        <v>0</v>
      </c>
      <c r="O399">
        <v>0</v>
      </c>
      <c r="P399" t="s">
        <v>207</v>
      </c>
      <c r="S399">
        <v>2.7333333333333329</v>
      </c>
      <c r="T399">
        <v>0</v>
      </c>
      <c r="U399">
        <v>400</v>
      </c>
    </row>
    <row r="400" spans="1:21">
      <c r="A400">
        <v>44846</v>
      </c>
      <c r="B400" t="s">
        <v>621</v>
      </c>
      <c r="C400" t="s">
        <v>65</v>
      </c>
      <c r="D400" t="s">
        <v>163</v>
      </c>
      <c r="E400" t="s">
        <v>167</v>
      </c>
      <c r="F400" t="s">
        <v>1310</v>
      </c>
      <c r="G400">
        <v>0.375</v>
      </c>
      <c r="H400" t="s">
        <v>206</v>
      </c>
      <c r="I400">
        <v>0.86041666666666672</v>
      </c>
      <c r="J400">
        <v>0</v>
      </c>
      <c r="K400">
        <v>0</v>
      </c>
      <c r="L400">
        <v>489</v>
      </c>
      <c r="M400">
        <v>200</v>
      </c>
      <c r="N400">
        <v>0</v>
      </c>
      <c r="O400">
        <v>0</v>
      </c>
      <c r="P400" t="s">
        <v>207</v>
      </c>
      <c r="S400">
        <v>11.649999999999999</v>
      </c>
      <c r="T400">
        <v>200</v>
      </c>
      <c r="U400">
        <v>689</v>
      </c>
    </row>
    <row r="401" spans="1:21">
      <c r="A401">
        <v>44847</v>
      </c>
      <c r="B401" t="s">
        <v>621</v>
      </c>
      <c r="C401" t="s">
        <v>65</v>
      </c>
      <c r="D401" t="s">
        <v>163</v>
      </c>
      <c r="E401" t="s">
        <v>167</v>
      </c>
      <c r="F401" t="s">
        <v>1317</v>
      </c>
      <c r="G401">
        <v>0.40763888888888888</v>
      </c>
      <c r="H401" t="s">
        <v>1029</v>
      </c>
      <c r="I401">
        <v>4.791666666666667E-2</v>
      </c>
      <c r="J401">
        <v>700</v>
      </c>
      <c r="K401">
        <v>0</v>
      </c>
      <c r="L401">
        <v>265</v>
      </c>
      <c r="M401">
        <v>470</v>
      </c>
      <c r="N401">
        <v>125</v>
      </c>
      <c r="O401">
        <v>0</v>
      </c>
      <c r="P401" t="s">
        <v>207</v>
      </c>
      <c r="S401">
        <v>15.366666666666665</v>
      </c>
      <c r="T401">
        <v>200</v>
      </c>
      <c r="U401">
        <v>1290</v>
      </c>
    </row>
    <row r="402" spans="1:21">
      <c r="A402">
        <v>44848</v>
      </c>
      <c r="B402" t="s">
        <v>621</v>
      </c>
      <c r="C402" t="s">
        <v>65</v>
      </c>
      <c r="D402" t="s">
        <v>163</v>
      </c>
      <c r="E402" t="s">
        <v>167</v>
      </c>
      <c r="F402" t="s">
        <v>1029</v>
      </c>
      <c r="G402">
        <v>4.791666666666667E-2</v>
      </c>
      <c r="H402" t="s">
        <v>1030</v>
      </c>
      <c r="I402">
        <v>0.98541666666666672</v>
      </c>
      <c r="J402">
        <v>0</v>
      </c>
      <c r="K402">
        <v>0</v>
      </c>
      <c r="L402">
        <v>0</v>
      </c>
      <c r="M402">
        <v>1075</v>
      </c>
      <c r="N402">
        <v>125</v>
      </c>
      <c r="O402">
        <v>0</v>
      </c>
      <c r="P402" t="s">
        <v>207</v>
      </c>
      <c r="S402">
        <v>22.5</v>
      </c>
      <c r="T402">
        <v>200</v>
      </c>
      <c r="U402">
        <v>325</v>
      </c>
    </row>
    <row r="403" spans="1:21">
      <c r="A403">
        <v>44849</v>
      </c>
      <c r="B403" t="s">
        <v>621</v>
      </c>
      <c r="C403" t="s">
        <v>65</v>
      </c>
      <c r="D403" t="s">
        <v>163</v>
      </c>
      <c r="E403" t="s">
        <v>167</v>
      </c>
      <c r="F403" t="s">
        <v>1318</v>
      </c>
      <c r="G403">
        <v>0.43263888888888891</v>
      </c>
      <c r="H403" t="s">
        <v>1028</v>
      </c>
      <c r="I403">
        <v>0.97013888888888888</v>
      </c>
      <c r="J403">
        <v>0</v>
      </c>
      <c r="K403">
        <v>0</v>
      </c>
      <c r="L403">
        <v>0</v>
      </c>
      <c r="M403">
        <v>0</v>
      </c>
      <c r="N403">
        <v>125</v>
      </c>
      <c r="O403">
        <v>0</v>
      </c>
      <c r="P403" t="s">
        <v>207</v>
      </c>
      <c r="S403">
        <v>12.900000000000002</v>
      </c>
      <c r="T403">
        <v>200</v>
      </c>
      <c r="U403">
        <v>325</v>
      </c>
    </row>
    <row r="404" spans="1:21">
      <c r="A404">
        <v>44835</v>
      </c>
      <c r="B404" t="s">
        <v>78</v>
      </c>
      <c r="C404" t="s">
        <v>79</v>
      </c>
      <c r="D404" t="s">
        <v>163</v>
      </c>
      <c r="E404" t="s">
        <v>208</v>
      </c>
      <c r="F404" t="s">
        <v>1319</v>
      </c>
      <c r="G404">
        <v>0.31805555555555554</v>
      </c>
      <c r="H404" t="s">
        <v>1320</v>
      </c>
      <c r="I404">
        <v>0.87569444444444444</v>
      </c>
      <c r="J404">
        <v>3379.68</v>
      </c>
      <c r="K404">
        <v>0</v>
      </c>
      <c r="L404">
        <v>0</v>
      </c>
      <c r="M404">
        <v>480</v>
      </c>
      <c r="N404">
        <v>0</v>
      </c>
      <c r="O404">
        <v>0</v>
      </c>
      <c r="P404" t="s">
        <v>209</v>
      </c>
      <c r="S404">
        <v>13.383333333333333</v>
      </c>
      <c r="T404">
        <v>400</v>
      </c>
      <c r="U404">
        <v>3779.68</v>
      </c>
    </row>
    <row r="405" spans="1:21">
      <c r="A405">
        <v>44837</v>
      </c>
      <c r="B405" t="s">
        <v>78</v>
      </c>
      <c r="C405" t="s">
        <v>79</v>
      </c>
      <c r="D405" t="s">
        <v>163</v>
      </c>
      <c r="E405" t="s">
        <v>208</v>
      </c>
      <c r="F405" t="s">
        <v>1321</v>
      </c>
      <c r="G405">
        <v>0.42986111111111114</v>
      </c>
      <c r="H405" t="s">
        <v>1320</v>
      </c>
      <c r="I405">
        <v>0.84027777777777779</v>
      </c>
      <c r="J405">
        <v>83.25</v>
      </c>
      <c r="K405">
        <v>0</v>
      </c>
      <c r="L405">
        <v>0</v>
      </c>
      <c r="M405">
        <v>0</v>
      </c>
      <c r="N405">
        <v>0</v>
      </c>
      <c r="O405">
        <v>0</v>
      </c>
      <c r="P405" t="s">
        <v>209</v>
      </c>
      <c r="S405">
        <v>9.8500000000000014</v>
      </c>
      <c r="T405">
        <v>400</v>
      </c>
      <c r="U405">
        <v>483.25</v>
      </c>
    </row>
    <row r="406" spans="1:21">
      <c r="A406">
        <v>44838</v>
      </c>
      <c r="B406" t="s">
        <v>78</v>
      </c>
      <c r="C406" t="s">
        <v>79</v>
      </c>
      <c r="D406" t="s">
        <v>163</v>
      </c>
      <c r="E406" t="s">
        <v>208</v>
      </c>
      <c r="F406" t="s">
        <v>1320</v>
      </c>
      <c r="G406">
        <v>0.44097222222222221</v>
      </c>
      <c r="H406" t="s">
        <v>1320</v>
      </c>
      <c r="I406">
        <v>0.83888888888888891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 t="s">
        <v>209</v>
      </c>
      <c r="S406">
        <v>9.5500000000000007</v>
      </c>
      <c r="T406">
        <v>400</v>
      </c>
      <c r="U406">
        <v>400</v>
      </c>
    </row>
    <row r="407" spans="1:21">
      <c r="A407">
        <v>44839</v>
      </c>
      <c r="B407" t="s">
        <v>78</v>
      </c>
      <c r="C407" t="s">
        <v>79</v>
      </c>
      <c r="D407" t="s">
        <v>163</v>
      </c>
      <c r="E407" t="s">
        <v>208</v>
      </c>
      <c r="F407" t="s">
        <v>1320</v>
      </c>
      <c r="G407">
        <v>0.66319444444444442</v>
      </c>
      <c r="H407" t="s">
        <v>1320</v>
      </c>
      <c r="I407">
        <v>0.81111111111111112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 t="s">
        <v>209</v>
      </c>
      <c r="S407">
        <v>3.5500000000000007</v>
      </c>
      <c r="T407">
        <v>0</v>
      </c>
      <c r="U407">
        <v>0</v>
      </c>
    </row>
    <row r="408" spans="1:21">
      <c r="A408">
        <v>44840</v>
      </c>
      <c r="B408" t="s">
        <v>78</v>
      </c>
      <c r="C408" t="s">
        <v>79</v>
      </c>
      <c r="D408" t="s">
        <v>163</v>
      </c>
      <c r="E408" t="s">
        <v>208</v>
      </c>
      <c r="F408" t="s">
        <v>1320</v>
      </c>
      <c r="G408">
        <v>0.40763888888888888</v>
      </c>
      <c r="H408" t="s">
        <v>1322</v>
      </c>
      <c r="I408">
        <v>0.90416666666666667</v>
      </c>
      <c r="J408">
        <v>0</v>
      </c>
      <c r="K408">
        <v>0</v>
      </c>
      <c r="L408">
        <v>0</v>
      </c>
      <c r="M408">
        <v>400</v>
      </c>
      <c r="N408">
        <v>0</v>
      </c>
      <c r="O408">
        <v>0</v>
      </c>
      <c r="P408" t="s">
        <v>209</v>
      </c>
      <c r="S408">
        <v>11.916666666666668</v>
      </c>
      <c r="T408">
        <v>400</v>
      </c>
      <c r="U408">
        <v>400</v>
      </c>
    </row>
    <row r="409" spans="1:21">
      <c r="A409">
        <v>44841</v>
      </c>
      <c r="B409" t="s">
        <v>78</v>
      </c>
      <c r="C409" t="s">
        <v>79</v>
      </c>
      <c r="D409" t="s">
        <v>163</v>
      </c>
      <c r="E409" t="s">
        <v>208</v>
      </c>
      <c r="F409" t="s">
        <v>1322</v>
      </c>
      <c r="G409">
        <v>0.38194444444444442</v>
      </c>
      <c r="H409" t="s">
        <v>1319</v>
      </c>
      <c r="I409">
        <v>0.81597222222222221</v>
      </c>
      <c r="J409">
        <v>40</v>
      </c>
      <c r="K409">
        <v>0</v>
      </c>
      <c r="L409">
        <v>0</v>
      </c>
      <c r="M409">
        <v>400</v>
      </c>
      <c r="N409">
        <v>0</v>
      </c>
      <c r="O409">
        <v>0</v>
      </c>
      <c r="P409" t="s">
        <v>209</v>
      </c>
      <c r="S409">
        <v>10.416666666666668</v>
      </c>
      <c r="T409">
        <v>400</v>
      </c>
      <c r="U409">
        <v>440</v>
      </c>
    </row>
    <row r="410" spans="1:21">
      <c r="A410">
        <v>44842</v>
      </c>
      <c r="B410" t="s">
        <v>78</v>
      </c>
      <c r="C410" t="s">
        <v>79</v>
      </c>
      <c r="D410" t="s">
        <v>163</v>
      </c>
      <c r="E410" t="s">
        <v>208</v>
      </c>
      <c r="F410" t="s">
        <v>1323</v>
      </c>
      <c r="G410">
        <v>0.36944444444444446</v>
      </c>
      <c r="H410" t="s">
        <v>1320</v>
      </c>
      <c r="I410">
        <v>0.86875000000000002</v>
      </c>
      <c r="J410">
        <v>0</v>
      </c>
      <c r="K410">
        <v>0</v>
      </c>
      <c r="L410">
        <v>0</v>
      </c>
      <c r="M410">
        <v>400</v>
      </c>
      <c r="N410">
        <v>0</v>
      </c>
      <c r="O410">
        <v>0</v>
      </c>
      <c r="P410" t="s">
        <v>209</v>
      </c>
      <c r="S410">
        <v>11.983333333333333</v>
      </c>
      <c r="T410">
        <v>400</v>
      </c>
      <c r="U410">
        <v>400</v>
      </c>
    </row>
    <row r="411" spans="1:21">
      <c r="A411">
        <v>44843</v>
      </c>
      <c r="B411" t="s">
        <v>78</v>
      </c>
      <c r="C411" t="s">
        <v>79</v>
      </c>
      <c r="D411" t="s">
        <v>163</v>
      </c>
      <c r="E411" t="s">
        <v>208</v>
      </c>
      <c r="F411" t="s">
        <v>1324</v>
      </c>
      <c r="G411">
        <v>0.56874999999999998</v>
      </c>
      <c r="H411" t="s">
        <v>1320</v>
      </c>
      <c r="I411">
        <v>0.77222222222222225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 t="s">
        <v>209</v>
      </c>
      <c r="S411">
        <v>4.883333333333332</v>
      </c>
      <c r="T411">
        <v>200</v>
      </c>
      <c r="U411">
        <v>200</v>
      </c>
    </row>
    <row r="412" spans="1:21">
      <c r="A412">
        <v>44844</v>
      </c>
      <c r="B412" t="s">
        <v>78</v>
      </c>
      <c r="C412" t="s">
        <v>79</v>
      </c>
      <c r="D412" t="s">
        <v>163</v>
      </c>
      <c r="E412" t="s">
        <v>208</v>
      </c>
      <c r="F412" t="s">
        <v>1320</v>
      </c>
      <c r="G412">
        <v>0.39861111111111114</v>
      </c>
      <c r="H412" t="s">
        <v>1320</v>
      </c>
      <c r="I412">
        <v>0.9291666666666667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 t="s">
        <v>209</v>
      </c>
      <c r="S412">
        <v>12.733333333333331</v>
      </c>
      <c r="T412">
        <v>400</v>
      </c>
      <c r="U412">
        <v>400</v>
      </c>
    </row>
    <row r="413" spans="1:21">
      <c r="A413">
        <v>44845</v>
      </c>
      <c r="B413" t="s">
        <v>78</v>
      </c>
      <c r="C413" t="s">
        <v>79</v>
      </c>
      <c r="D413" t="s">
        <v>163</v>
      </c>
      <c r="E413" t="s">
        <v>208</v>
      </c>
      <c r="F413" t="s">
        <v>1320</v>
      </c>
      <c r="G413">
        <v>0.38472222222222224</v>
      </c>
      <c r="H413" t="s">
        <v>1324</v>
      </c>
      <c r="I413">
        <v>0.86250000000000004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 t="s">
        <v>209</v>
      </c>
      <c r="S413">
        <v>11.466666666666665</v>
      </c>
      <c r="T413">
        <v>400</v>
      </c>
      <c r="U413">
        <v>400</v>
      </c>
    </row>
    <row r="414" spans="1:21">
      <c r="A414">
        <v>44846</v>
      </c>
      <c r="B414" t="s">
        <v>78</v>
      </c>
      <c r="C414" t="s">
        <v>79</v>
      </c>
      <c r="D414" t="s">
        <v>163</v>
      </c>
      <c r="E414" t="s">
        <v>208</v>
      </c>
      <c r="F414" t="s">
        <v>1325</v>
      </c>
      <c r="G414">
        <v>0.61736111111111114</v>
      </c>
      <c r="H414" t="s">
        <v>1324</v>
      </c>
      <c r="I414">
        <v>0.81319444444444444</v>
      </c>
      <c r="J414">
        <v>95</v>
      </c>
      <c r="K414">
        <v>0</v>
      </c>
      <c r="L414">
        <v>0</v>
      </c>
      <c r="M414">
        <v>180</v>
      </c>
      <c r="N414">
        <v>0</v>
      </c>
      <c r="O414">
        <v>0</v>
      </c>
      <c r="P414" t="s">
        <v>209</v>
      </c>
      <c r="S414">
        <v>4.6999999999999993</v>
      </c>
      <c r="T414">
        <v>200</v>
      </c>
      <c r="U414">
        <v>295</v>
      </c>
    </row>
    <row r="415" spans="1:21">
      <c r="A415">
        <v>44847</v>
      </c>
      <c r="B415" t="s">
        <v>78</v>
      </c>
      <c r="C415" t="s">
        <v>79</v>
      </c>
      <c r="D415" t="s">
        <v>163</v>
      </c>
      <c r="E415" t="s">
        <v>208</v>
      </c>
      <c r="F415" t="s">
        <v>1326</v>
      </c>
      <c r="G415">
        <v>0.39097222222222222</v>
      </c>
      <c r="H415" t="s">
        <v>1324</v>
      </c>
      <c r="I415">
        <v>0.96250000000000002</v>
      </c>
      <c r="J415">
        <v>78.25</v>
      </c>
      <c r="K415">
        <v>0</v>
      </c>
      <c r="L415">
        <v>0</v>
      </c>
      <c r="M415">
        <v>0</v>
      </c>
      <c r="N415">
        <v>0</v>
      </c>
      <c r="O415">
        <v>0</v>
      </c>
      <c r="P415" t="s">
        <v>209</v>
      </c>
      <c r="S415">
        <v>13.716666666666663</v>
      </c>
      <c r="T415">
        <v>400</v>
      </c>
      <c r="U415">
        <v>478.25</v>
      </c>
    </row>
    <row r="416" spans="1:21">
      <c r="A416">
        <v>44848</v>
      </c>
      <c r="B416" t="s">
        <v>78</v>
      </c>
      <c r="C416" t="s">
        <v>79</v>
      </c>
      <c r="D416" t="s">
        <v>163</v>
      </c>
      <c r="E416" t="s">
        <v>208</v>
      </c>
      <c r="F416" t="s">
        <v>1324</v>
      </c>
      <c r="G416">
        <v>0.34583333333333333</v>
      </c>
      <c r="H416" t="s">
        <v>1324</v>
      </c>
      <c r="I416">
        <v>0.87916666666666665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 t="s">
        <v>209</v>
      </c>
      <c r="S416">
        <v>12.8</v>
      </c>
      <c r="T416">
        <v>400</v>
      </c>
      <c r="U416">
        <v>400</v>
      </c>
    </row>
    <row r="417" spans="1:21">
      <c r="A417">
        <v>44849</v>
      </c>
      <c r="B417" t="s">
        <v>78</v>
      </c>
      <c r="C417" t="s">
        <v>79</v>
      </c>
      <c r="D417" t="s">
        <v>163</v>
      </c>
      <c r="E417" t="s">
        <v>208</v>
      </c>
      <c r="F417" t="s">
        <v>1320</v>
      </c>
      <c r="G417">
        <v>0.40277777777777779</v>
      </c>
      <c r="H417" t="s">
        <v>1320</v>
      </c>
      <c r="I417">
        <v>0.83194444444444449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 t="s">
        <v>209</v>
      </c>
      <c r="S417">
        <v>10.299999999999999</v>
      </c>
      <c r="T417">
        <v>400</v>
      </c>
      <c r="U417">
        <v>400</v>
      </c>
    </row>
    <row r="418" spans="1:21">
      <c r="A418">
        <v>44835</v>
      </c>
      <c r="B418" t="s">
        <v>98</v>
      </c>
      <c r="C418" t="s">
        <v>99</v>
      </c>
      <c r="D418" t="s">
        <v>163</v>
      </c>
      <c r="E418" t="s">
        <v>167</v>
      </c>
      <c r="F418" t="s">
        <v>1327</v>
      </c>
      <c r="G418">
        <v>0.3923611111111111</v>
      </c>
      <c r="H418" t="s">
        <v>1328</v>
      </c>
      <c r="I418">
        <v>0.82847222222222228</v>
      </c>
      <c r="J418">
        <v>0</v>
      </c>
      <c r="K418">
        <v>0</v>
      </c>
      <c r="L418">
        <v>0</v>
      </c>
      <c r="M418">
        <v>200</v>
      </c>
      <c r="N418">
        <v>0</v>
      </c>
      <c r="O418">
        <v>0</v>
      </c>
      <c r="P418" t="s">
        <v>210</v>
      </c>
      <c r="S418">
        <v>10.466666666666665</v>
      </c>
      <c r="T418">
        <v>200</v>
      </c>
      <c r="U418">
        <v>200</v>
      </c>
    </row>
    <row r="419" spans="1:21">
      <c r="A419">
        <v>44837</v>
      </c>
      <c r="B419" t="s">
        <v>98</v>
      </c>
      <c r="C419" t="s">
        <v>99</v>
      </c>
      <c r="D419" t="s">
        <v>163</v>
      </c>
      <c r="E419" t="s">
        <v>167</v>
      </c>
      <c r="F419" t="s">
        <v>1329</v>
      </c>
      <c r="G419">
        <v>0.37361111111111112</v>
      </c>
      <c r="H419" t="s">
        <v>1330</v>
      </c>
      <c r="I419">
        <v>0.83402777777777781</v>
      </c>
      <c r="J419">
        <v>0</v>
      </c>
      <c r="K419">
        <v>0</v>
      </c>
      <c r="L419">
        <v>0</v>
      </c>
      <c r="M419">
        <v>200</v>
      </c>
      <c r="N419">
        <v>0</v>
      </c>
      <c r="O419">
        <v>0</v>
      </c>
      <c r="P419" t="s">
        <v>210</v>
      </c>
      <c r="S419">
        <v>11.049999999999997</v>
      </c>
      <c r="T419">
        <v>200</v>
      </c>
      <c r="U419">
        <v>200</v>
      </c>
    </row>
    <row r="420" spans="1:21">
      <c r="A420">
        <v>44838</v>
      </c>
      <c r="B420" t="s">
        <v>98</v>
      </c>
      <c r="C420" t="s">
        <v>99</v>
      </c>
      <c r="D420" t="s">
        <v>163</v>
      </c>
      <c r="E420" t="s">
        <v>167</v>
      </c>
      <c r="F420" t="s">
        <v>1331</v>
      </c>
      <c r="G420">
        <v>0.3659722222222222</v>
      </c>
      <c r="H420" t="s">
        <v>1332</v>
      </c>
      <c r="I420">
        <v>0.80694444444444446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 t="s">
        <v>210</v>
      </c>
      <c r="S420">
        <v>10.583333333333334</v>
      </c>
      <c r="T420">
        <v>200</v>
      </c>
      <c r="U420">
        <v>200</v>
      </c>
    </row>
    <row r="421" spans="1:21">
      <c r="A421">
        <v>44840</v>
      </c>
      <c r="B421" t="s">
        <v>98</v>
      </c>
      <c r="C421" t="s">
        <v>99</v>
      </c>
      <c r="D421" t="s">
        <v>163</v>
      </c>
      <c r="E421" t="s">
        <v>167</v>
      </c>
      <c r="F421" t="s">
        <v>1333</v>
      </c>
      <c r="G421">
        <v>0.37847222222222221</v>
      </c>
      <c r="H421" t="s">
        <v>1330</v>
      </c>
      <c r="I421">
        <v>0.86597222222222225</v>
      </c>
      <c r="J421">
        <v>300</v>
      </c>
      <c r="K421">
        <v>0</v>
      </c>
      <c r="L421">
        <v>0</v>
      </c>
      <c r="M421">
        <v>200</v>
      </c>
      <c r="N421">
        <v>0</v>
      </c>
      <c r="O421">
        <v>0</v>
      </c>
      <c r="P421" t="s">
        <v>210</v>
      </c>
      <c r="S421">
        <v>11.7</v>
      </c>
      <c r="T421">
        <v>200</v>
      </c>
      <c r="U421">
        <v>500</v>
      </c>
    </row>
    <row r="422" spans="1:21">
      <c r="A422">
        <v>44841</v>
      </c>
      <c r="B422" t="s">
        <v>98</v>
      </c>
      <c r="C422" t="s">
        <v>99</v>
      </c>
      <c r="D422" t="s">
        <v>163</v>
      </c>
      <c r="E422" t="s">
        <v>167</v>
      </c>
      <c r="F422" t="s">
        <v>1334</v>
      </c>
      <c r="G422">
        <v>0.37291666666666667</v>
      </c>
      <c r="H422" t="s">
        <v>1335</v>
      </c>
      <c r="I422">
        <v>0.82499999999999996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 t="s">
        <v>210</v>
      </c>
      <c r="S422">
        <v>10.849999999999998</v>
      </c>
      <c r="T422">
        <v>200</v>
      </c>
      <c r="U422">
        <v>200</v>
      </c>
    </row>
    <row r="423" spans="1:21">
      <c r="A423">
        <v>44842</v>
      </c>
      <c r="B423" t="s">
        <v>98</v>
      </c>
      <c r="C423" t="s">
        <v>99</v>
      </c>
      <c r="D423" t="s">
        <v>163</v>
      </c>
      <c r="E423" t="s">
        <v>167</v>
      </c>
      <c r="F423" t="s">
        <v>178</v>
      </c>
      <c r="G423">
        <v>0.37708333333333333</v>
      </c>
      <c r="H423" t="s">
        <v>1336</v>
      </c>
      <c r="I423">
        <v>0.82638888888888884</v>
      </c>
      <c r="J423">
        <v>0</v>
      </c>
      <c r="K423">
        <v>0</v>
      </c>
      <c r="L423">
        <v>0</v>
      </c>
      <c r="M423">
        <v>200</v>
      </c>
      <c r="N423">
        <v>0</v>
      </c>
      <c r="O423">
        <v>0</v>
      </c>
      <c r="P423" t="s">
        <v>210</v>
      </c>
      <c r="S423">
        <v>10.783333333333331</v>
      </c>
      <c r="T423">
        <v>200</v>
      </c>
      <c r="U423">
        <v>200</v>
      </c>
    </row>
    <row r="424" spans="1:21">
      <c r="A424">
        <v>44844</v>
      </c>
      <c r="B424" t="s">
        <v>98</v>
      </c>
      <c r="C424" t="s">
        <v>99</v>
      </c>
      <c r="D424" t="s">
        <v>163</v>
      </c>
      <c r="E424" t="s">
        <v>167</v>
      </c>
      <c r="F424" t="s">
        <v>1327</v>
      </c>
      <c r="G424">
        <v>0.34444444444444444</v>
      </c>
      <c r="H424" t="s">
        <v>1336</v>
      </c>
      <c r="I424">
        <v>0.89444444444444449</v>
      </c>
      <c r="J424">
        <v>0</v>
      </c>
      <c r="K424">
        <v>0</v>
      </c>
      <c r="L424">
        <v>0</v>
      </c>
      <c r="M424">
        <v>200</v>
      </c>
      <c r="N424">
        <v>0</v>
      </c>
      <c r="O424">
        <v>0</v>
      </c>
      <c r="P424" t="s">
        <v>210</v>
      </c>
      <c r="S424">
        <v>13.2</v>
      </c>
      <c r="T424">
        <v>200</v>
      </c>
      <c r="U424">
        <v>200</v>
      </c>
    </row>
    <row r="425" spans="1:21">
      <c r="A425">
        <v>44845</v>
      </c>
      <c r="B425" t="s">
        <v>98</v>
      </c>
      <c r="C425" t="s">
        <v>99</v>
      </c>
      <c r="D425" t="s">
        <v>163</v>
      </c>
      <c r="E425" t="s">
        <v>167</v>
      </c>
      <c r="F425" t="s">
        <v>1327</v>
      </c>
      <c r="G425">
        <v>0.35694444444444445</v>
      </c>
      <c r="H425" t="s">
        <v>1337</v>
      </c>
      <c r="I425">
        <v>0.49861111111111112</v>
      </c>
      <c r="J425">
        <v>300</v>
      </c>
      <c r="K425">
        <v>0</v>
      </c>
      <c r="L425">
        <v>0</v>
      </c>
      <c r="M425">
        <v>200</v>
      </c>
      <c r="N425">
        <v>0</v>
      </c>
      <c r="O425">
        <v>0</v>
      </c>
      <c r="P425" t="s">
        <v>210</v>
      </c>
      <c r="S425">
        <v>3.4</v>
      </c>
      <c r="T425">
        <v>0</v>
      </c>
      <c r="U425">
        <v>300</v>
      </c>
    </row>
    <row r="426" spans="1:21">
      <c r="A426">
        <v>44846</v>
      </c>
      <c r="B426" t="s">
        <v>98</v>
      </c>
      <c r="C426" t="s">
        <v>99</v>
      </c>
      <c r="D426" t="s">
        <v>163</v>
      </c>
      <c r="E426" t="s">
        <v>167</v>
      </c>
      <c r="F426" t="s">
        <v>1335</v>
      </c>
      <c r="G426">
        <v>0.38958333333333334</v>
      </c>
      <c r="H426" t="s">
        <v>1338</v>
      </c>
      <c r="I426">
        <v>0.79861111111111116</v>
      </c>
      <c r="J426">
        <v>0</v>
      </c>
      <c r="K426">
        <v>0</v>
      </c>
      <c r="L426">
        <v>0</v>
      </c>
      <c r="M426">
        <v>200</v>
      </c>
      <c r="N426">
        <v>0</v>
      </c>
      <c r="O426">
        <v>0</v>
      </c>
      <c r="P426" t="s">
        <v>210</v>
      </c>
      <c r="S426">
        <v>9.8166666666666647</v>
      </c>
      <c r="T426">
        <v>200</v>
      </c>
      <c r="U426">
        <v>200</v>
      </c>
    </row>
    <row r="427" spans="1:21">
      <c r="A427">
        <v>44847</v>
      </c>
      <c r="B427" t="s">
        <v>98</v>
      </c>
      <c r="C427" t="s">
        <v>99</v>
      </c>
      <c r="D427" t="s">
        <v>163</v>
      </c>
      <c r="E427" t="s">
        <v>167</v>
      </c>
      <c r="F427" t="s">
        <v>1339</v>
      </c>
      <c r="G427">
        <v>0.37430555555555556</v>
      </c>
      <c r="H427" t="s">
        <v>1335</v>
      </c>
      <c r="I427">
        <v>0.82986111111111116</v>
      </c>
      <c r="J427">
        <v>0</v>
      </c>
      <c r="K427">
        <v>0</v>
      </c>
      <c r="L427">
        <v>0</v>
      </c>
      <c r="M427">
        <v>200</v>
      </c>
      <c r="N427">
        <v>80</v>
      </c>
      <c r="O427">
        <v>0</v>
      </c>
      <c r="P427" t="s">
        <v>210</v>
      </c>
      <c r="S427">
        <v>10.933333333333332</v>
      </c>
      <c r="T427">
        <v>200</v>
      </c>
      <c r="U427">
        <v>280</v>
      </c>
    </row>
    <row r="428" spans="1:21">
      <c r="A428">
        <v>44848</v>
      </c>
      <c r="B428" t="s">
        <v>98</v>
      </c>
      <c r="C428" t="s">
        <v>99</v>
      </c>
      <c r="D428" t="s">
        <v>163</v>
      </c>
      <c r="E428" t="s">
        <v>167</v>
      </c>
      <c r="F428" t="s">
        <v>1340</v>
      </c>
      <c r="G428">
        <v>0.38472222222222224</v>
      </c>
      <c r="H428" t="s">
        <v>1341</v>
      </c>
      <c r="I428">
        <v>0.50277777777777777</v>
      </c>
      <c r="J428">
        <v>0</v>
      </c>
      <c r="K428">
        <v>0</v>
      </c>
      <c r="L428">
        <v>0</v>
      </c>
      <c r="M428">
        <v>200</v>
      </c>
      <c r="N428">
        <v>0</v>
      </c>
      <c r="O428">
        <v>0</v>
      </c>
      <c r="P428" t="s">
        <v>210</v>
      </c>
      <c r="S428">
        <v>2.8333333333333339</v>
      </c>
      <c r="T428">
        <v>0</v>
      </c>
      <c r="U428">
        <v>0</v>
      </c>
    </row>
    <row r="429" spans="1:21">
      <c r="A429">
        <v>44849</v>
      </c>
      <c r="B429" t="s">
        <v>98</v>
      </c>
      <c r="C429" t="s">
        <v>99</v>
      </c>
      <c r="D429" t="s">
        <v>163</v>
      </c>
      <c r="E429" t="s">
        <v>167</v>
      </c>
      <c r="F429" t="s">
        <v>1338</v>
      </c>
      <c r="G429">
        <v>0.38055555555555554</v>
      </c>
      <c r="H429" t="s">
        <v>1342</v>
      </c>
      <c r="I429">
        <v>0.7895833333333333</v>
      </c>
      <c r="J429">
        <v>300</v>
      </c>
      <c r="K429">
        <v>0</v>
      </c>
      <c r="L429">
        <v>0</v>
      </c>
      <c r="M429">
        <v>200</v>
      </c>
      <c r="N429">
        <v>0</v>
      </c>
      <c r="O429">
        <v>0</v>
      </c>
      <c r="P429" t="s">
        <v>210</v>
      </c>
      <c r="S429">
        <v>9.8166666666666664</v>
      </c>
      <c r="T429">
        <v>200</v>
      </c>
      <c r="U429">
        <v>500</v>
      </c>
    </row>
    <row r="430" spans="1:21">
      <c r="A430">
        <v>44835</v>
      </c>
      <c r="B430" t="s">
        <v>100</v>
      </c>
      <c r="C430" t="s">
        <v>101</v>
      </c>
      <c r="D430" t="s">
        <v>163</v>
      </c>
      <c r="E430" t="s">
        <v>211</v>
      </c>
      <c r="F430" t="s">
        <v>1343</v>
      </c>
      <c r="G430">
        <v>0.31597222222222221</v>
      </c>
      <c r="H430" t="s">
        <v>1344</v>
      </c>
      <c r="I430">
        <v>0.80277777777777781</v>
      </c>
      <c r="J430">
        <v>0</v>
      </c>
      <c r="K430">
        <v>0</v>
      </c>
      <c r="L430">
        <v>0</v>
      </c>
      <c r="M430">
        <v>350</v>
      </c>
      <c r="N430">
        <v>0</v>
      </c>
      <c r="O430">
        <v>0</v>
      </c>
      <c r="P430" t="s">
        <v>212</v>
      </c>
      <c r="S430">
        <v>11.683333333333332</v>
      </c>
      <c r="T430">
        <v>350</v>
      </c>
      <c r="U430">
        <v>350</v>
      </c>
    </row>
    <row r="431" spans="1:21">
      <c r="A431">
        <v>44841</v>
      </c>
      <c r="B431" t="s">
        <v>100</v>
      </c>
      <c r="C431" t="s">
        <v>101</v>
      </c>
      <c r="D431" t="s">
        <v>163</v>
      </c>
      <c r="E431" t="s">
        <v>211</v>
      </c>
      <c r="F431" t="s">
        <v>1343</v>
      </c>
      <c r="G431">
        <v>0.34861111111111109</v>
      </c>
      <c r="H431" t="s">
        <v>1345</v>
      </c>
      <c r="I431">
        <v>0.35555555555555557</v>
      </c>
      <c r="J431">
        <v>1000</v>
      </c>
      <c r="K431">
        <v>0</v>
      </c>
      <c r="L431">
        <v>0</v>
      </c>
      <c r="M431">
        <v>350</v>
      </c>
      <c r="N431">
        <v>0</v>
      </c>
      <c r="O431">
        <v>0</v>
      </c>
      <c r="P431" t="s">
        <v>212</v>
      </c>
      <c r="S431">
        <v>0.16666666666666607</v>
      </c>
      <c r="T431">
        <v>0</v>
      </c>
      <c r="U431">
        <v>1000</v>
      </c>
    </row>
    <row r="432" spans="1:21">
      <c r="A432">
        <v>44842</v>
      </c>
      <c r="B432" t="s">
        <v>100</v>
      </c>
      <c r="C432" t="s">
        <v>101</v>
      </c>
      <c r="D432" t="s">
        <v>163</v>
      </c>
      <c r="E432" t="s">
        <v>211</v>
      </c>
      <c r="F432" t="s">
        <v>1345</v>
      </c>
      <c r="G432">
        <v>0.35555555555555557</v>
      </c>
      <c r="H432" t="s">
        <v>213</v>
      </c>
      <c r="I432">
        <v>0.8305555555555556</v>
      </c>
      <c r="J432">
        <v>2200</v>
      </c>
      <c r="K432">
        <v>0</v>
      </c>
      <c r="L432">
        <v>0</v>
      </c>
      <c r="M432">
        <v>0</v>
      </c>
      <c r="N432">
        <v>200</v>
      </c>
      <c r="O432">
        <v>0</v>
      </c>
      <c r="P432" t="s">
        <v>212</v>
      </c>
      <c r="S432">
        <v>11.399999999999999</v>
      </c>
      <c r="T432">
        <v>350</v>
      </c>
      <c r="U432">
        <v>2750</v>
      </c>
    </row>
    <row r="433" spans="1:21">
      <c r="A433">
        <v>44844</v>
      </c>
      <c r="B433" t="s">
        <v>100</v>
      </c>
      <c r="C433" t="s">
        <v>101</v>
      </c>
      <c r="D433" t="s">
        <v>163</v>
      </c>
      <c r="E433" t="s">
        <v>211</v>
      </c>
      <c r="F433" t="s">
        <v>1346</v>
      </c>
      <c r="G433">
        <v>0.44513888888888886</v>
      </c>
      <c r="H433" t="s">
        <v>178</v>
      </c>
      <c r="I433">
        <v>0.51249999999999996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 t="s">
        <v>212</v>
      </c>
      <c r="S433">
        <v>1.6166666666666663</v>
      </c>
      <c r="T433">
        <v>0</v>
      </c>
      <c r="U433">
        <v>0</v>
      </c>
    </row>
    <row r="434" spans="1:21">
      <c r="A434">
        <v>44846</v>
      </c>
      <c r="B434" t="s">
        <v>100</v>
      </c>
      <c r="C434" t="s">
        <v>101</v>
      </c>
      <c r="D434" t="s">
        <v>163</v>
      </c>
      <c r="E434" t="s">
        <v>211</v>
      </c>
      <c r="F434" t="s">
        <v>1346</v>
      </c>
      <c r="G434">
        <v>0.42638888888888887</v>
      </c>
      <c r="H434" t="s">
        <v>178</v>
      </c>
      <c r="I434">
        <v>0.76666666666666672</v>
      </c>
      <c r="J434">
        <v>900</v>
      </c>
      <c r="K434">
        <v>0</v>
      </c>
      <c r="L434">
        <v>0</v>
      </c>
      <c r="M434">
        <v>0</v>
      </c>
      <c r="N434">
        <v>0</v>
      </c>
      <c r="O434">
        <v>0</v>
      </c>
      <c r="P434" t="s">
        <v>212</v>
      </c>
      <c r="S434">
        <v>8.1666666666666661</v>
      </c>
      <c r="T434">
        <v>350</v>
      </c>
      <c r="U434">
        <v>1250</v>
      </c>
    </row>
    <row r="435" spans="1:21">
      <c r="A435">
        <v>44835</v>
      </c>
      <c r="B435" t="s">
        <v>654</v>
      </c>
      <c r="C435" t="s">
        <v>655</v>
      </c>
      <c r="D435" t="s">
        <v>227</v>
      </c>
      <c r="E435" t="s">
        <v>171</v>
      </c>
      <c r="F435" t="s">
        <v>1347</v>
      </c>
      <c r="G435">
        <v>0.34236111111111112</v>
      </c>
      <c r="H435" t="s">
        <v>1347</v>
      </c>
      <c r="I435">
        <v>0.79374999999999996</v>
      </c>
      <c r="J435">
        <v>500</v>
      </c>
      <c r="K435">
        <v>0</v>
      </c>
      <c r="L435">
        <v>0</v>
      </c>
      <c r="M435">
        <v>0</v>
      </c>
      <c r="N435">
        <v>0</v>
      </c>
      <c r="O435">
        <v>0</v>
      </c>
      <c r="P435" t="s">
        <v>1348</v>
      </c>
      <c r="S435">
        <v>10.833333333333332</v>
      </c>
      <c r="T435">
        <v>125</v>
      </c>
      <c r="U435">
        <v>625</v>
      </c>
    </row>
    <row r="436" spans="1:21">
      <c r="A436">
        <v>44837</v>
      </c>
      <c r="B436" t="s">
        <v>654</v>
      </c>
      <c r="C436" t="s">
        <v>655</v>
      </c>
      <c r="D436" t="s">
        <v>227</v>
      </c>
      <c r="E436" t="s">
        <v>171</v>
      </c>
      <c r="F436" t="s">
        <v>1349</v>
      </c>
      <c r="G436">
        <v>0.34166666666666667</v>
      </c>
      <c r="H436" t="s">
        <v>1347</v>
      </c>
      <c r="I436">
        <v>0.84791666666666665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200</v>
      </c>
      <c r="P436" t="s">
        <v>1348</v>
      </c>
      <c r="S436">
        <v>12.149999999999999</v>
      </c>
      <c r="T436">
        <v>125</v>
      </c>
      <c r="U436">
        <v>325</v>
      </c>
    </row>
    <row r="437" spans="1:21">
      <c r="A437">
        <v>44838</v>
      </c>
      <c r="B437" t="s">
        <v>654</v>
      </c>
      <c r="C437" t="s">
        <v>655</v>
      </c>
      <c r="D437" t="s">
        <v>227</v>
      </c>
      <c r="E437" t="s">
        <v>171</v>
      </c>
      <c r="F437" t="s">
        <v>1347</v>
      </c>
      <c r="G437">
        <v>0.33263888888888887</v>
      </c>
      <c r="H437" t="s">
        <v>1347</v>
      </c>
      <c r="I437">
        <v>0.84722222222222221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 t="s">
        <v>1348</v>
      </c>
      <c r="S437">
        <v>12.350000000000001</v>
      </c>
      <c r="T437">
        <v>125</v>
      </c>
      <c r="U437">
        <v>125</v>
      </c>
    </row>
    <row r="438" spans="1:21">
      <c r="A438">
        <v>44840</v>
      </c>
      <c r="B438" t="s">
        <v>654</v>
      </c>
      <c r="C438" t="s">
        <v>655</v>
      </c>
      <c r="D438" t="s">
        <v>227</v>
      </c>
      <c r="E438" t="s">
        <v>171</v>
      </c>
      <c r="F438" t="s">
        <v>1347</v>
      </c>
      <c r="G438">
        <v>0.34027777777777779</v>
      </c>
      <c r="H438" t="s">
        <v>1347</v>
      </c>
      <c r="I438">
        <v>0.79374999999999996</v>
      </c>
      <c r="J438">
        <v>500</v>
      </c>
      <c r="K438">
        <v>0</v>
      </c>
      <c r="L438">
        <v>0</v>
      </c>
      <c r="M438">
        <v>100</v>
      </c>
      <c r="N438">
        <v>0</v>
      </c>
      <c r="O438">
        <v>0</v>
      </c>
      <c r="P438" t="s">
        <v>1348</v>
      </c>
      <c r="S438">
        <v>10.883333333333333</v>
      </c>
      <c r="T438">
        <v>125</v>
      </c>
      <c r="U438">
        <v>625</v>
      </c>
    </row>
    <row r="439" spans="1:21">
      <c r="A439">
        <v>44841</v>
      </c>
      <c r="B439" t="s">
        <v>654</v>
      </c>
      <c r="C439" t="s">
        <v>655</v>
      </c>
      <c r="D439" t="s">
        <v>227</v>
      </c>
      <c r="E439" t="s">
        <v>171</v>
      </c>
      <c r="F439" t="s">
        <v>1350</v>
      </c>
      <c r="G439">
        <v>0.34236111111111112</v>
      </c>
      <c r="H439" t="s">
        <v>1347</v>
      </c>
      <c r="I439">
        <v>0.79374999999999996</v>
      </c>
      <c r="J439">
        <v>0</v>
      </c>
      <c r="K439">
        <v>0</v>
      </c>
      <c r="L439">
        <v>0</v>
      </c>
      <c r="M439">
        <v>100</v>
      </c>
      <c r="N439">
        <v>0</v>
      </c>
      <c r="O439">
        <v>0</v>
      </c>
      <c r="P439" t="s">
        <v>1348</v>
      </c>
      <c r="S439">
        <v>10.833333333333332</v>
      </c>
      <c r="T439">
        <v>125</v>
      </c>
      <c r="U439">
        <v>125</v>
      </c>
    </row>
    <row r="440" spans="1:21">
      <c r="A440">
        <v>44842</v>
      </c>
      <c r="B440" t="s">
        <v>654</v>
      </c>
      <c r="C440" t="s">
        <v>655</v>
      </c>
      <c r="D440" t="s">
        <v>227</v>
      </c>
      <c r="E440" t="s">
        <v>171</v>
      </c>
      <c r="F440" t="s">
        <v>1347</v>
      </c>
      <c r="G440">
        <v>0.33263888888888887</v>
      </c>
      <c r="H440" t="s">
        <v>1347</v>
      </c>
      <c r="I440">
        <v>0.80555555555555558</v>
      </c>
      <c r="J440">
        <v>500</v>
      </c>
      <c r="K440">
        <v>0</v>
      </c>
      <c r="L440">
        <v>0</v>
      </c>
      <c r="M440">
        <v>100</v>
      </c>
      <c r="N440">
        <v>0</v>
      </c>
      <c r="O440">
        <v>0</v>
      </c>
      <c r="P440" t="s">
        <v>1348</v>
      </c>
      <c r="S440">
        <v>11.349999999999998</v>
      </c>
      <c r="T440">
        <v>125</v>
      </c>
      <c r="U440">
        <v>625</v>
      </c>
    </row>
    <row r="441" spans="1:21">
      <c r="A441">
        <v>44843</v>
      </c>
      <c r="B441" t="s">
        <v>654</v>
      </c>
      <c r="C441" t="s">
        <v>655</v>
      </c>
      <c r="D441" t="s">
        <v>227</v>
      </c>
      <c r="E441" t="s">
        <v>171</v>
      </c>
      <c r="F441" t="s">
        <v>1347</v>
      </c>
      <c r="G441">
        <v>0.32916666666666666</v>
      </c>
      <c r="H441" t="s">
        <v>1347</v>
      </c>
      <c r="I441">
        <v>0.66666666666666663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 t="s">
        <v>1348</v>
      </c>
      <c r="S441">
        <v>8.1</v>
      </c>
      <c r="T441">
        <v>125</v>
      </c>
      <c r="U441">
        <v>125</v>
      </c>
    </row>
    <row r="442" spans="1:21">
      <c r="A442">
        <v>44844</v>
      </c>
      <c r="B442" t="s">
        <v>654</v>
      </c>
      <c r="C442" t="s">
        <v>655</v>
      </c>
      <c r="D442" t="s">
        <v>227</v>
      </c>
      <c r="E442" t="s">
        <v>171</v>
      </c>
      <c r="F442" t="s">
        <v>1347</v>
      </c>
      <c r="G442">
        <v>0.34166666666666667</v>
      </c>
      <c r="H442" t="s">
        <v>1347</v>
      </c>
      <c r="I442">
        <v>0.83750000000000002</v>
      </c>
      <c r="J442">
        <v>0</v>
      </c>
      <c r="K442">
        <v>0</v>
      </c>
      <c r="L442">
        <v>0</v>
      </c>
      <c r="M442">
        <v>100</v>
      </c>
      <c r="N442">
        <v>0</v>
      </c>
      <c r="O442">
        <v>0</v>
      </c>
      <c r="P442" t="s">
        <v>1348</v>
      </c>
      <c r="S442">
        <v>11.899999999999999</v>
      </c>
      <c r="T442">
        <v>125</v>
      </c>
      <c r="U442">
        <v>125</v>
      </c>
    </row>
    <row r="443" spans="1:21">
      <c r="A443">
        <v>44845</v>
      </c>
      <c r="B443" t="s">
        <v>654</v>
      </c>
      <c r="C443" t="s">
        <v>655</v>
      </c>
      <c r="D443" t="s">
        <v>227</v>
      </c>
      <c r="E443" t="s">
        <v>171</v>
      </c>
      <c r="F443" t="s">
        <v>178</v>
      </c>
      <c r="G443">
        <v>0.25</v>
      </c>
      <c r="H443" t="s">
        <v>1347</v>
      </c>
      <c r="I443">
        <v>0.84652777777777777</v>
      </c>
      <c r="J443">
        <v>500</v>
      </c>
      <c r="K443">
        <v>0</v>
      </c>
      <c r="L443">
        <v>0</v>
      </c>
      <c r="M443">
        <v>100</v>
      </c>
      <c r="N443">
        <v>170</v>
      </c>
      <c r="O443">
        <v>0</v>
      </c>
      <c r="P443" t="s">
        <v>1348</v>
      </c>
      <c r="S443">
        <v>14.316666666666666</v>
      </c>
      <c r="T443">
        <v>125</v>
      </c>
      <c r="U443">
        <v>795</v>
      </c>
    </row>
    <row r="444" spans="1:21">
      <c r="A444">
        <v>44846</v>
      </c>
      <c r="B444" t="s">
        <v>654</v>
      </c>
      <c r="C444" t="s">
        <v>655</v>
      </c>
      <c r="D444" t="s">
        <v>227</v>
      </c>
      <c r="E444" t="s">
        <v>171</v>
      </c>
      <c r="F444" t="s">
        <v>1349</v>
      </c>
      <c r="G444">
        <v>0.36805555555555558</v>
      </c>
      <c r="H444" t="s">
        <v>1351</v>
      </c>
      <c r="I444">
        <v>0.81388888888888888</v>
      </c>
      <c r="J444">
        <v>0</v>
      </c>
      <c r="K444">
        <v>0</v>
      </c>
      <c r="L444">
        <v>0</v>
      </c>
      <c r="M444">
        <v>200</v>
      </c>
      <c r="N444">
        <v>0</v>
      </c>
      <c r="O444">
        <v>0</v>
      </c>
      <c r="P444" t="s">
        <v>1348</v>
      </c>
      <c r="S444">
        <v>10.700000000000001</v>
      </c>
      <c r="T444">
        <v>125</v>
      </c>
      <c r="U444">
        <v>125</v>
      </c>
    </row>
    <row r="445" spans="1:21">
      <c r="A445">
        <v>44847</v>
      </c>
      <c r="B445" t="s">
        <v>654</v>
      </c>
      <c r="C445" t="s">
        <v>655</v>
      </c>
      <c r="D445" t="s">
        <v>227</v>
      </c>
      <c r="E445" t="s">
        <v>171</v>
      </c>
      <c r="F445" t="s">
        <v>1352</v>
      </c>
      <c r="G445">
        <v>0.27430555555555558</v>
      </c>
      <c r="H445" t="s">
        <v>1351</v>
      </c>
      <c r="I445">
        <v>0.84027777777777779</v>
      </c>
      <c r="J445">
        <v>0</v>
      </c>
      <c r="K445">
        <v>0</v>
      </c>
      <c r="L445">
        <v>0</v>
      </c>
      <c r="M445">
        <v>240</v>
      </c>
      <c r="N445">
        <v>0</v>
      </c>
      <c r="O445">
        <v>0</v>
      </c>
      <c r="P445" t="s">
        <v>1348</v>
      </c>
      <c r="S445">
        <v>13.583333333333336</v>
      </c>
      <c r="T445">
        <v>125</v>
      </c>
      <c r="U445">
        <v>125</v>
      </c>
    </row>
    <row r="446" spans="1:21">
      <c r="A446">
        <v>44848</v>
      </c>
      <c r="B446" t="s">
        <v>654</v>
      </c>
      <c r="C446" t="s">
        <v>655</v>
      </c>
      <c r="D446" t="s">
        <v>227</v>
      </c>
      <c r="E446" t="s">
        <v>171</v>
      </c>
      <c r="F446" t="s">
        <v>1353</v>
      </c>
      <c r="G446">
        <v>0.24652777777777779</v>
      </c>
      <c r="H446" t="s">
        <v>1351</v>
      </c>
      <c r="I446">
        <v>0.81180555555555556</v>
      </c>
      <c r="J446">
        <v>250</v>
      </c>
      <c r="K446">
        <v>0</v>
      </c>
      <c r="L446">
        <v>0</v>
      </c>
      <c r="M446">
        <v>230</v>
      </c>
      <c r="N446">
        <v>0</v>
      </c>
      <c r="O446">
        <v>0</v>
      </c>
      <c r="P446" t="s">
        <v>1348</v>
      </c>
      <c r="S446">
        <v>13.566666666666666</v>
      </c>
      <c r="T446">
        <v>125</v>
      </c>
      <c r="U446">
        <v>375</v>
      </c>
    </row>
    <row r="447" spans="1:21">
      <c r="A447">
        <v>44849</v>
      </c>
      <c r="B447" t="s">
        <v>654</v>
      </c>
      <c r="C447" t="s">
        <v>655</v>
      </c>
      <c r="D447" t="s">
        <v>227</v>
      </c>
      <c r="E447" t="s">
        <v>171</v>
      </c>
      <c r="F447" t="s">
        <v>1354</v>
      </c>
      <c r="G447">
        <v>0.26666666666666666</v>
      </c>
      <c r="H447" t="s">
        <v>1347</v>
      </c>
      <c r="I447">
        <v>0.77708333333333335</v>
      </c>
      <c r="J447">
        <v>0</v>
      </c>
      <c r="K447">
        <v>1050</v>
      </c>
      <c r="L447">
        <v>0</v>
      </c>
      <c r="M447">
        <v>130</v>
      </c>
      <c r="N447">
        <v>0</v>
      </c>
      <c r="O447">
        <v>0</v>
      </c>
      <c r="P447" t="s">
        <v>1348</v>
      </c>
      <c r="S447">
        <v>12.250000000000002</v>
      </c>
      <c r="T447">
        <v>0</v>
      </c>
      <c r="U447">
        <v>1050</v>
      </c>
    </row>
    <row r="448" spans="1:21">
      <c r="A448">
        <v>44835</v>
      </c>
      <c r="B448" t="s">
        <v>21</v>
      </c>
      <c r="C448" t="s">
        <v>22</v>
      </c>
      <c r="D448" t="s">
        <v>163</v>
      </c>
      <c r="E448" t="s">
        <v>214</v>
      </c>
      <c r="F448" t="s">
        <v>1355</v>
      </c>
      <c r="G448">
        <v>0.47499999999999998</v>
      </c>
      <c r="H448" t="s">
        <v>1356</v>
      </c>
      <c r="I448">
        <v>0.97013888888888888</v>
      </c>
      <c r="J448">
        <v>0</v>
      </c>
      <c r="K448">
        <v>0</v>
      </c>
      <c r="L448">
        <v>0</v>
      </c>
      <c r="M448">
        <v>350</v>
      </c>
      <c r="N448">
        <v>0</v>
      </c>
      <c r="O448">
        <v>0</v>
      </c>
      <c r="P448" t="s">
        <v>216</v>
      </c>
      <c r="S448">
        <v>11.883333333333333</v>
      </c>
      <c r="T448">
        <v>350</v>
      </c>
      <c r="U448">
        <v>350</v>
      </c>
    </row>
    <row r="449" spans="1:21">
      <c r="A449">
        <v>44836</v>
      </c>
      <c r="B449" t="s">
        <v>21</v>
      </c>
      <c r="C449" t="s">
        <v>22</v>
      </c>
      <c r="D449" t="s">
        <v>163</v>
      </c>
      <c r="E449" t="s">
        <v>214</v>
      </c>
      <c r="F449" t="s">
        <v>1356</v>
      </c>
      <c r="G449">
        <v>0.66527777777777775</v>
      </c>
      <c r="H449" t="s">
        <v>1357</v>
      </c>
      <c r="I449">
        <v>0.95972222222222225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 t="s">
        <v>216</v>
      </c>
      <c r="S449">
        <v>7.0666666666666655</v>
      </c>
      <c r="T449">
        <v>175</v>
      </c>
      <c r="U449">
        <v>175</v>
      </c>
    </row>
    <row r="450" spans="1:21">
      <c r="A450">
        <v>44837</v>
      </c>
      <c r="B450" t="s">
        <v>21</v>
      </c>
      <c r="C450" t="s">
        <v>22</v>
      </c>
      <c r="D450" t="s">
        <v>163</v>
      </c>
      <c r="E450" t="s">
        <v>214</v>
      </c>
      <c r="F450" t="s">
        <v>1355</v>
      </c>
      <c r="G450">
        <v>0.35486111111111113</v>
      </c>
      <c r="H450" t="s">
        <v>1356</v>
      </c>
      <c r="I450">
        <v>0.98819444444444449</v>
      </c>
      <c r="J450">
        <v>2000</v>
      </c>
      <c r="K450">
        <v>0</v>
      </c>
      <c r="L450">
        <v>0</v>
      </c>
      <c r="M450">
        <v>350</v>
      </c>
      <c r="N450">
        <v>0</v>
      </c>
      <c r="O450">
        <v>0</v>
      </c>
      <c r="P450" t="s">
        <v>216</v>
      </c>
      <c r="S450">
        <v>15.2</v>
      </c>
      <c r="T450">
        <v>350</v>
      </c>
      <c r="U450">
        <v>2350</v>
      </c>
    </row>
    <row r="451" spans="1:21">
      <c r="A451">
        <v>44838</v>
      </c>
      <c r="B451" t="s">
        <v>21</v>
      </c>
      <c r="C451" t="s">
        <v>22</v>
      </c>
      <c r="D451" t="s">
        <v>163</v>
      </c>
      <c r="E451" t="s">
        <v>214</v>
      </c>
      <c r="F451" t="s">
        <v>1358</v>
      </c>
      <c r="G451">
        <v>0.37638888888888888</v>
      </c>
      <c r="H451" t="s">
        <v>1356</v>
      </c>
      <c r="I451">
        <v>0.98750000000000004</v>
      </c>
      <c r="J451">
        <v>0</v>
      </c>
      <c r="K451">
        <v>0</v>
      </c>
      <c r="L451">
        <v>0</v>
      </c>
      <c r="M451">
        <v>350</v>
      </c>
      <c r="N451">
        <v>0</v>
      </c>
      <c r="O451">
        <v>0</v>
      </c>
      <c r="P451" t="s">
        <v>216</v>
      </c>
      <c r="S451">
        <v>14.666666666666664</v>
      </c>
      <c r="T451">
        <v>350</v>
      </c>
      <c r="U451">
        <v>350</v>
      </c>
    </row>
    <row r="452" spans="1:21">
      <c r="A452">
        <v>44839</v>
      </c>
      <c r="B452" t="s">
        <v>21</v>
      </c>
      <c r="C452" t="s">
        <v>22</v>
      </c>
      <c r="D452" t="s">
        <v>163</v>
      </c>
      <c r="E452" t="s">
        <v>214</v>
      </c>
      <c r="F452" t="s">
        <v>1358</v>
      </c>
      <c r="G452">
        <v>0.55972222222222223</v>
      </c>
      <c r="H452" t="s">
        <v>1359</v>
      </c>
      <c r="I452">
        <v>0.97916666666666663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 t="s">
        <v>216</v>
      </c>
      <c r="S452">
        <v>10.066666666666666</v>
      </c>
      <c r="T452">
        <v>350</v>
      </c>
      <c r="U452">
        <v>350</v>
      </c>
    </row>
    <row r="453" spans="1:21">
      <c r="A453">
        <v>44840</v>
      </c>
      <c r="B453" t="s">
        <v>21</v>
      </c>
      <c r="C453" t="s">
        <v>22</v>
      </c>
      <c r="D453" t="s">
        <v>163</v>
      </c>
      <c r="E453" t="s">
        <v>214</v>
      </c>
      <c r="F453" t="s">
        <v>1355</v>
      </c>
      <c r="G453">
        <v>0.50624999999999998</v>
      </c>
      <c r="H453" t="s">
        <v>215</v>
      </c>
      <c r="I453">
        <v>6.9444444444444447E-4</v>
      </c>
      <c r="J453">
        <v>2400</v>
      </c>
      <c r="K453">
        <v>0</v>
      </c>
      <c r="L453">
        <v>0</v>
      </c>
      <c r="M453">
        <v>350</v>
      </c>
      <c r="N453">
        <v>55</v>
      </c>
      <c r="O453">
        <v>0</v>
      </c>
      <c r="P453" t="s">
        <v>216</v>
      </c>
      <c r="S453">
        <v>11.866666666666667</v>
      </c>
      <c r="T453">
        <v>350</v>
      </c>
      <c r="U453">
        <v>2805</v>
      </c>
    </row>
    <row r="454" spans="1:21">
      <c r="A454">
        <v>44841</v>
      </c>
      <c r="B454" t="s">
        <v>21</v>
      </c>
      <c r="C454" t="s">
        <v>22</v>
      </c>
      <c r="D454" t="s">
        <v>163</v>
      </c>
      <c r="E454" t="s">
        <v>214</v>
      </c>
      <c r="F454" t="s">
        <v>215</v>
      </c>
      <c r="G454">
        <v>6.9444444444444447E-4</v>
      </c>
      <c r="H454" t="s">
        <v>1360</v>
      </c>
      <c r="I454">
        <v>1.2500000000000001E-2</v>
      </c>
      <c r="J454">
        <v>0</v>
      </c>
      <c r="K454">
        <v>0</v>
      </c>
      <c r="L454">
        <v>0</v>
      </c>
      <c r="M454">
        <v>1770</v>
      </c>
      <c r="N454">
        <v>200</v>
      </c>
      <c r="O454">
        <v>0</v>
      </c>
      <c r="P454" t="s">
        <v>216</v>
      </c>
      <c r="S454">
        <v>0.28333333333333333</v>
      </c>
      <c r="T454">
        <v>0</v>
      </c>
      <c r="U454">
        <v>200</v>
      </c>
    </row>
    <row r="455" spans="1:21">
      <c r="A455">
        <v>44842</v>
      </c>
      <c r="B455" t="s">
        <v>21</v>
      </c>
      <c r="C455" t="s">
        <v>22</v>
      </c>
      <c r="D455" t="s">
        <v>163</v>
      </c>
      <c r="E455" t="s">
        <v>214</v>
      </c>
      <c r="F455" t="s">
        <v>1360</v>
      </c>
      <c r="G455">
        <v>1.2500000000000001E-2</v>
      </c>
      <c r="H455" t="s">
        <v>1358</v>
      </c>
      <c r="I455">
        <v>0.99305555555555558</v>
      </c>
      <c r="J455">
        <v>3150</v>
      </c>
      <c r="K455">
        <v>1232</v>
      </c>
      <c r="L455">
        <v>0</v>
      </c>
      <c r="M455">
        <v>2480</v>
      </c>
      <c r="N455">
        <v>0</v>
      </c>
      <c r="O455">
        <v>0</v>
      </c>
      <c r="P455" t="s">
        <v>216</v>
      </c>
      <c r="S455">
        <v>23.533333333333331</v>
      </c>
      <c r="T455">
        <v>0</v>
      </c>
      <c r="U455">
        <v>4382</v>
      </c>
    </row>
    <row r="456" spans="1:21">
      <c r="A456">
        <v>44844</v>
      </c>
      <c r="B456" t="s">
        <v>21</v>
      </c>
      <c r="C456" t="s">
        <v>22</v>
      </c>
      <c r="D456" t="s">
        <v>163</v>
      </c>
      <c r="E456" t="s">
        <v>214</v>
      </c>
      <c r="F456" t="s">
        <v>1361</v>
      </c>
      <c r="G456">
        <v>4.0972222222222222E-2</v>
      </c>
      <c r="H456" t="s">
        <v>1361</v>
      </c>
      <c r="I456">
        <v>0.99375000000000002</v>
      </c>
      <c r="J456">
        <v>450</v>
      </c>
      <c r="K456">
        <v>0</v>
      </c>
      <c r="L456">
        <v>0</v>
      </c>
      <c r="M456">
        <v>350</v>
      </c>
      <c r="N456">
        <v>100</v>
      </c>
      <c r="O456">
        <v>0</v>
      </c>
      <c r="P456" t="s">
        <v>216</v>
      </c>
      <c r="S456">
        <v>22.866666666666667</v>
      </c>
      <c r="T456">
        <v>350</v>
      </c>
      <c r="U456">
        <v>900</v>
      </c>
    </row>
    <row r="457" spans="1:21">
      <c r="A457">
        <v>44845</v>
      </c>
      <c r="B457" t="s">
        <v>21</v>
      </c>
      <c r="C457" t="s">
        <v>22</v>
      </c>
      <c r="D457" t="s">
        <v>163</v>
      </c>
      <c r="E457" t="s">
        <v>214</v>
      </c>
      <c r="F457" t="s">
        <v>1358</v>
      </c>
      <c r="G457">
        <v>0.37569444444444444</v>
      </c>
      <c r="H457" t="s">
        <v>1355</v>
      </c>
      <c r="I457">
        <v>0.96805555555555556</v>
      </c>
      <c r="J457">
        <v>0</v>
      </c>
      <c r="K457">
        <v>0</v>
      </c>
      <c r="L457">
        <v>0</v>
      </c>
      <c r="M457">
        <v>350</v>
      </c>
      <c r="N457">
        <v>0</v>
      </c>
      <c r="O457">
        <v>0</v>
      </c>
      <c r="P457" t="s">
        <v>216</v>
      </c>
      <c r="S457">
        <v>14.216666666666667</v>
      </c>
      <c r="T457">
        <v>350</v>
      </c>
      <c r="U457">
        <v>350</v>
      </c>
    </row>
    <row r="458" spans="1:21">
      <c r="A458">
        <v>44846</v>
      </c>
      <c r="B458" t="s">
        <v>21</v>
      </c>
      <c r="C458" t="s">
        <v>22</v>
      </c>
      <c r="D458" t="s">
        <v>163</v>
      </c>
      <c r="E458" t="s">
        <v>214</v>
      </c>
      <c r="F458" t="s">
        <v>1361</v>
      </c>
      <c r="G458">
        <v>0.57638888888888884</v>
      </c>
      <c r="H458" t="s">
        <v>1361</v>
      </c>
      <c r="I458">
        <v>0.97499999999999998</v>
      </c>
      <c r="J458">
        <v>3350</v>
      </c>
      <c r="K458">
        <v>0</v>
      </c>
      <c r="L458">
        <v>0</v>
      </c>
      <c r="M458">
        <v>0</v>
      </c>
      <c r="N458">
        <v>200</v>
      </c>
      <c r="O458">
        <v>0</v>
      </c>
      <c r="P458" t="s">
        <v>216</v>
      </c>
      <c r="S458">
        <v>9.5666666666666664</v>
      </c>
      <c r="T458">
        <v>350</v>
      </c>
      <c r="U458">
        <v>3900</v>
      </c>
    </row>
    <row r="459" spans="1:21">
      <c r="A459">
        <v>44847</v>
      </c>
      <c r="B459" t="s">
        <v>21</v>
      </c>
      <c r="C459" t="s">
        <v>22</v>
      </c>
      <c r="D459" t="s">
        <v>163</v>
      </c>
      <c r="E459" t="s">
        <v>214</v>
      </c>
      <c r="F459" t="s">
        <v>1361</v>
      </c>
      <c r="G459">
        <v>0.33958333333333335</v>
      </c>
      <c r="H459" t="s">
        <v>1029</v>
      </c>
      <c r="I459">
        <v>7.7083333333333337E-2</v>
      </c>
      <c r="J459">
        <v>1009.44</v>
      </c>
      <c r="K459">
        <v>0</v>
      </c>
      <c r="L459">
        <v>0</v>
      </c>
      <c r="M459">
        <v>1075</v>
      </c>
      <c r="N459">
        <v>200</v>
      </c>
      <c r="O459">
        <v>0</v>
      </c>
      <c r="P459" t="s">
        <v>216</v>
      </c>
      <c r="S459">
        <v>17.700000000000003</v>
      </c>
      <c r="T459">
        <v>350</v>
      </c>
      <c r="U459">
        <v>1559.44</v>
      </c>
    </row>
    <row r="460" spans="1:21">
      <c r="A460">
        <v>44848</v>
      </c>
      <c r="B460" t="s">
        <v>21</v>
      </c>
      <c r="C460" t="s">
        <v>22</v>
      </c>
      <c r="D460" t="s">
        <v>163</v>
      </c>
      <c r="E460" t="s">
        <v>214</v>
      </c>
      <c r="F460" t="s">
        <v>1029</v>
      </c>
      <c r="G460">
        <v>7.7083333333333337E-2</v>
      </c>
      <c r="H460" t="s">
        <v>1029</v>
      </c>
      <c r="I460">
        <v>1.2500000000000001E-2</v>
      </c>
      <c r="J460">
        <v>3200</v>
      </c>
      <c r="K460">
        <v>0</v>
      </c>
      <c r="L460">
        <v>0</v>
      </c>
      <c r="M460">
        <v>595</v>
      </c>
      <c r="N460">
        <v>4160</v>
      </c>
      <c r="O460">
        <v>0</v>
      </c>
      <c r="P460" t="s">
        <v>216</v>
      </c>
      <c r="S460">
        <v>22.45</v>
      </c>
      <c r="T460">
        <v>350</v>
      </c>
      <c r="U460">
        <v>7710</v>
      </c>
    </row>
    <row r="461" spans="1:21">
      <c r="A461">
        <v>44849</v>
      </c>
      <c r="B461" t="s">
        <v>21</v>
      </c>
      <c r="C461" t="s">
        <v>22</v>
      </c>
      <c r="D461" t="s">
        <v>163</v>
      </c>
      <c r="E461" t="s">
        <v>214</v>
      </c>
      <c r="F461" t="s">
        <v>1029</v>
      </c>
      <c r="G461">
        <v>1.0416666666666666E-2</v>
      </c>
      <c r="H461" t="s">
        <v>1029</v>
      </c>
      <c r="I461">
        <v>0.99444444444444446</v>
      </c>
      <c r="J461">
        <v>50</v>
      </c>
      <c r="K461">
        <v>0</v>
      </c>
      <c r="L461">
        <v>0</v>
      </c>
      <c r="M461">
        <v>1055</v>
      </c>
      <c r="N461">
        <v>700</v>
      </c>
      <c r="O461">
        <v>0</v>
      </c>
      <c r="P461" t="s">
        <v>216</v>
      </c>
      <c r="S461">
        <v>23.616666666666667</v>
      </c>
      <c r="T461">
        <v>350</v>
      </c>
      <c r="U461">
        <v>1100</v>
      </c>
    </row>
    <row r="462" spans="1:21">
      <c r="A462">
        <v>44835</v>
      </c>
      <c r="B462" t="s">
        <v>683</v>
      </c>
      <c r="C462" t="s">
        <v>684</v>
      </c>
      <c r="D462" t="s">
        <v>163</v>
      </c>
      <c r="E462" t="s">
        <v>1229</v>
      </c>
      <c r="F462" t="s">
        <v>1362</v>
      </c>
      <c r="G462">
        <v>0.35208333333333336</v>
      </c>
      <c r="H462" t="s">
        <v>1363</v>
      </c>
      <c r="I462">
        <v>0.78402777777777777</v>
      </c>
      <c r="J462">
        <v>1065</v>
      </c>
      <c r="K462">
        <v>0</v>
      </c>
      <c r="L462">
        <v>250</v>
      </c>
      <c r="M462">
        <v>0</v>
      </c>
      <c r="N462">
        <v>0</v>
      </c>
      <c r="O462">
        <v>0</v>
      </c>
      <c r="P462" t="s">
        <v>1364</v>
      </c>
      <c r="S462">
        <v>10.366666666666667</v>
      </c>
      <c r="U462">
        <v>1315</v>
      </c>
    </row>
    <row r="463" spans="1:21">
      <c r="A463">
        <v>44836</v>
      </c>
      <c r="B463" t="s">
        <v>683</v>
      </c>
      <c r="C463" t="s">
        <v>684</v>
      </c>
      <c r="D463" t="s">
        <v>163</v>
      </c>
      <c r="E463" t="s">
        <v>1229</v>
      </c>
      <c r="F463" t="s">
        <v>1365</v>
      </c>
      <c r="G463">
        <v>0.36249999999999999</v>
      </c>
      <c r="H463" t="s">
        <v>1363</v>
      </c>
      <c r="I463">
        <v>0.77430555555555558</v>
      </c>
      <c r="J463">
        <v>0</v>
      </c>
      <c r="K463">
        <v>0</v>
      </c>
      <c r="L463">
        <v>250</v>
      </c>
      <c r="M463">
        <v>0</v>
      </c>
      <c r="N463">
        <v>0</v>
      </c>
      <c r="O463">
        <v>0</v>
      </c>
      <c r="P463" t="s">
        <v>1364</v>
      </c>
      <c r="S463">
        <v>9.8833333333333311</v>
      </c>
      <c r="U463">
        <v>250</v>
      </c>
    </row>
    <row r="464" spans="1:21">
      <c r="A464">
        <v>44837</v>
      </c>
      <c r="B464" t="s">
        <v>683</v>
      </c>
      <c r="C464" t="s">
        <v>684</v>
      </c>
      <c r="D464" t="s">
        <v>163</v>
      </c>
      <c r="E464" t="s">
        <v>1229</v>
      </c>
      <c r="F464" t="s">
        <v>1363</v>
      </c>
      <c r="G464">
        <v>0.32916666666666666</v>
      </c>
      <c r="H464" t="s">
        <v>1362</v>
      </c>
      <c r="I464">
        <v>0.80694444444444446</v>
      </c>
      <c r="J464">
        <v>0</v>
      </c>
      <c r="K464">
        <v>0</v>
      </c>
      <c r="L464">
        <v>250</v>
      </c>
      <c r="M464">
        <v>0</v>
      </c>
      <c r="N464">
        <v>0</v>
      </c>
      <c r="O464">
        <v>0</v>
      </c>
      <c r="P464" t="s">
        <v>1364</v>
      </c>
      <c r="S464">
        <v>11.466666666666667</v>
      </c>
      <c r="U464">
        <v>250</v>
      </c>
    </row>
    <row r="465" spans="1:21">
      <c r="A465">
        <v>44839</v>
      </c>
      <c r="B465" t="s">
        <v>683</v>
      </c>
      <c r="C465" t="s">
        <v>684</v>
      </c>
      <c r="D465" t="s">
        <v>163</v>
      </c>
      <c r="E465" t="s">
        <v>1229</v>
      </c>
      <c r="F465" t="s">
        <v>1363</v>
      </c>
      <c r="G465">
        <v>0.34097222222222223</v>
      </c>
      <c r="H465" t="s">
        <v>1362</v>
      </c>
      <c r="I465">
        <v>0.85624999999999996</v>
      </c>
      <c r="J465">
        <v>1067.3900000000001</v>
      </c>
      <c r="K465">
        <v>0</v>
      </c>
      <c r="L465">
        <v>250</v>
      </c>
      <c r="M465">
        <v>0</v>
      </c>
      <c r="N465">
        <v>0</v>
      </c>
      <c r="O465">
        <v>0</v>
      </c>
      <c r="P465" t="s">
        <v>1364</v>
      </c>
      <c r="S465">
        <v>12.366666666666665</v>
      </c>
      <c r="U465">
        <v>1317.39</v>
      </c>
    </row>
    <row r="466" spans="1:21">
      <c r="A466">
        <v>44840</v>
      </c>
      <c r="B466" t="s">
        <v>683</v>
      </c>
      <c r="C466" t="s">
        <v>684</v>
      </c>
      <c r="D466" t="s">
        <v>163</v>
      </c>
      <c r="E466" t="s">
        <v>1229</v>
      </c>
      <c r="F466" t="s">
        <v>1362</v>
      </c>
      <c r="G466">
        <v>0.37638888888888888</v>
      </c>
      <c r="H466" t="s">
        <v>1366</v>
      </c>
      <c r="I466">
        <v>0.77500000000000002</v>
      </c>
      <c r="J466">
        <v>0</v>
      </c>
      <c r="K466">
        <v>0</v>
      </c>
      <c r="L466">
        <v>250</v>
      </c>
      <c r="M466">
        <v>0</v>
      </c>
      <c r="N466">
        <v>0</v>
      </c>
      <c r="O466">
        <v>0</v>
      </c>
      <c r="P466" t="s">
        <v>1364</v>
      </c>
      <c r="S466">
        <v>9.5666666666666664</v>
      </c>
      <c r="U466">
        <v>250</v>
      </c>
    </row>
    <row r="467" spans="1:21">
      <c r="A467">
        <v>44842</v>
      </c>
      <c r="B467" t="s">
        <v>683</v>
      </c>
      <c r="C467" t="s">
        <v>684</v>
      </c>
      <c r="D467" t="s">
        <v>163</v>
      </c>
      <c r="E467" t="s">
        <v>1229</v>
      </c>
      <c r="F467" t="s">
        <v>1367</v>
      </c>
      <c r="G467">
        <v>0.31180555555555556</v>
      </c>
      <c r="H467" t="s">
        <v>1368</v>
      </c>
      <c r="I467">
        <v>0.82291666666666663</v>
      </c>
      <c r="J467">
        <v>0</v>
      </c>
      <c r="K467">
        <v>800</v>
      </c>
      <c r="L467">
        <v>250</v>
      </c>
      <c r="M467">
        <v>0</v>
      </c>
      <c r="N467">
        <v>0</v>
      </c>
      <c r="O467">
        <v>0</v>
      </c>
      <c r="P467" t="s">
        <v>1364</v>
      </c>
      <c r="S467">
        <v>12.266666666666666</v>
      </c>
      <c r="T467">
        <v>0</v>
      </c>
      <c r="U467">
        <v>1050</v>
      </c>
    </row>
    <row r="468" spans="1:21">
      <c r="A468">
        <v>44843</v>
      </c>
      <c r="B468" t="s">
        <v>683</v>
      </c>
      <c r="C468" t="s">
        <v>684</v>
      </c>
      <c r="D468" t="s">
        <v>163</v>
      </c>
      <c r="E468" t="s">
        <v>1229</v>
      </c>
      <c r="F468" t="s">
        <v>1369</v>
      </c>
      <c r="G468">
        <v>0.43819444444444444</v>
      </c>
      <c r="H468" t="s">
        <v>1362</v>
      </c>
      <c r="I468">
        <v>0.78680555555555554</v>
      </c>
      <c r="J468">
        <v>2550</v>
      </c>
      <c r="K468">
        <v>0</v>
      </c>
      <c r="L468">
        <v>250</v>
      </c>
      <c r="M468">
        <v>0</v>
      </c>
      <c r="N468">
        <v>0</v>
      </c>
      <c r="O468">
        <v>0</v>
      </c>
      <c r="P468" t="s">
        <v>1364</v>
      </c>
      <c r="S468">
        <v>8.3666666666666671</v>
      </c>
      <c r="U468">
        <v>2800</v>
      </c>
    </row>
    <row r="469" spans="1:21">
      <c r="A469">
        <v>44844</v>
      </c>
      <c r="B469" t="s">
        <v>683</v>
      </c>
      <c r="C469" t="s">
        <v>684</v>
      </c>
      <c r="D469" t="s">
        <v>163</v>
      </c>
      <c r="E469" t="s">
        <v>1229</v>
      </c>
      <c r="F469" t="s">
        <v>1362</v>
      </c>
      <c r="G469">
        <v>0.3298611111111111</v>
      </c>
      <c r="H469" t="s">
        <v>1370</v>
      </c>
      <c r="I469">
        <v>0.88194444444444442</v>
      </c>
      <c r="J469">
        <v>0</v>
      </c>
      <c r="K469">
        <v>0</v>
      </c>
      <c r="L469">
        <v>250</v>
      </c>
      <c r="M469">
        <v>0</v>
      </c>
      <c r="N469">
        <v>0</v>
      </c>
      <c r="O469">
        <v>0</v>
      </c>
      <c r="P469" t="s">
        <v>1364</v>
      </c>
      <c r="S469">
        <v>13.249999999999998</v>
      </c>
      <c r="U469">
        <v>250</v>
      </c>
    </row>
    <row r="470" spans="1:21">
      <c r="A470">
        <v>44846</v>
      </c>
      <c r="B470" t="s">
        <v>683</v>
      </c>
      <c r="C470" t="s">
        <v>684</v>
      </c>
      <c r="D470" t="s">
        <v>163</v>
      </c>
      <c r="E470" t="s">
        <v>1229</v>
      </c>
      <c r="F470" t="s">
        <v>1058</v>
      </c>
      <c r="G470">
        <v>0.29305555555555557</v>
      </c>
      <c r="H470" t="s">
        <v>1362</v>
      </c>
      <c r="I470">
        <v>0.78888888888888886</v>
      </c>
      <c r="J470">
        <v>50</v>
      </c>
      <c r="K470">
        <v>2635</v>
      </c>
      <c r="L470">
        <v>250</v>
      </c>
      <c r="M470">
        <v>0</v>
      </c>
      <c r="N470">
        <v>0</v>
      </c>
      <c r="O470">
        <v>0</v>
      </c>
      <c r="P470" t="s">
        <v>1364</v>
      </c>
      <c r="S470">
        <v>11.899999999999999</v>
      </c>
      <c r="T470">
        <v>0</v>
      </c>
      <c r="U470">
        <v>2935</v>
      </c>
    </row>
    <row r="471" spans="1:21">
      <c r="A471">
        <v>44847</v>
      </c>
      <c r="B471" t="s">
        <v>683</v>
      </c>
      <c r="C471" t="s">
        <v>684</v>
      </c>
      <c r="D471" t="s">
        <v>163</v>
      </c>
      <c r="E471" t="s">
        <v>1229</v>
      </c>
      <c r="F471" t="s">
        <v>1362</v>
      </c>
      <c r="G471">
        <v>0.31041666666666667</v>
      </c>
      <c r="H471" t="s">
        <v>1371</v>
      </c>
      <c r="I471">
        <v>0.91319444444444442</v>
      </c>
      <c r="J471">
        <v>0</v>
      </c>
      <c r="K471">
        <v>0</v>
      </c>
      <c r="L471">
        <v>250</v>
      </c>
      <c r="M471">
        <v>0</v>
      </c>
      <c r="N471">
        <v>0</v>
      </c>
      <c r="O471">
        <v>0</v>
      </c>
      <c r="P471" t="s">
        <v>1364</v>
      </c>
      <c r="S471">
        <v>14.466666666666665</v>
      </c>
      <c r="U471">
        <v>250</v>
      </c>
    </row>
    <row r="472" spans="1:21">
      <c r="A472">
        <v>44848</v>
      </c>
      <c r="B472" t="s">
        <v>683</v>
      </c>
      <c r="C472" t="s">
        <v>684</v>
      </c>
      <c r="D472" t="s">
        <v>163</v>
      </c>
      <c r="E472" t="s">
        <v>1229</v>
      </c>
      <c r="F472" t="s">
        <v>1372</v>
      </c>
      <c r="G472">
        <v>0.18541666666666667</v>
      </c>
      <c r="H472" t="s">
        <v>1373</v>
      </c>
      <c r="I472">
        <v>0.79513888888888884</v>
      </c>
      <c r="J472">
        <v>1029</v>
      </c>
      <c r="K472">
        <v>0</v>
      </c>
      <c r="L472">
        <v>250</v>
      </c>
      <c r="M472">
        <v>0</v>
      </c>
      <c r="N472">
        <v>100</v>
      </c>
      <c r="O472">
        <v>0</v>
      </c>
      <c r="P472" t="s">
        <v>1364</v>
      </c>
      <c r="S472">
        <v>14.633333333333333</v>
      </c>
      <c r="U472">
        <v>1379</v>
      </c>
    </row>
    <row r="473" spans="1:21">
      <c r="A473">
        <v>44849</v>
      </c>
      <c r="B473" t="s">
        <v>683</v>
      </c>
      <c r="C473" t="s">
        <v>684</v>
      </c>
      <c r="D473" t="s">
        <v>163</v>
      </c>
      <c r="E473" t="s">
        <v>1229</v>
      </c>
      <c r="F473" t="s">
        <v>1362</v>
      </c>
      <c r="G473">
        <v>0.34583333333333333</v>
      </c>
      <c r="H473" t="s">
        <v>1363</v>
      </c>
      <c r="I473">
        <v>0.81180555555555556</v>
      </c>
      <c r="J473">
        <v>0</v>
      </c>
      <c r="K473">
        <v>0</v>
      </c>
      <c r="L473">
        <v>250</v>
      </c>
      <c r="M473">
        <v>0</v>
      </c>
      <c r="N473">
        <v>0</v>
      </c>
      <c r="O473">
        <v>0</v>
      </c>
      <c r="P473" t="s">
        <v>1364</v>
      </c>
      <c r="S473">
        <v>11.183333333333334</v>
      </c>
      <c r="U473">
        <v>250</v>
      </c>
    </row>
    <row r="474" spans="1:21">
      <c r="A474">
        <v>44835</v>
      </c>
      <c r="B474" t="s">
        <v>696</v>
      </c>
      <c r="C474" t="s">
        <v>697</v>
      </c>
      <c r="D474" t="s">
        <v>163</v>
      </c>
      <c r="E474" t="s">
        <v>227</v>
      </c>
      <c r="F474" t="s">
        <v>1374</v>
      </c>
      <c r="G474">
        <v>0.41111111111111109</v>
      </c>
      <c r="H474" t="s">
        <v>1375</v>
      </c>
      <c r="I474">
        <v>0.78402777777777777</v>
      </c>
      <c r="J474">
        <v>0</v>
      </c>
      <c r="K474">
        <v>0</v>
      </c>
      <c r="L474">
        <v>0</v>
      </c>
      <c r="M474">
        <v>100</v>
      </c>
      <c r="N474">
        <v>0</v>
      </c>
      <c r="O474">
        <v>0</v>
      </c>
      <c r="P474" t="s">
        <v>1376</v>
      </c>
      <c r="S474">
        <v>8.9499999999999993</v>
      </c>
      <c r="U474">
        <v>0</v>
      </c>
    </row>
    <row r="475" spans="1:21">
      <c r="A475">
        <v>44837</v>
      </c>
      <c r="B475" t="s">
        <v>696</v>
      </c>
      <c r="C475" t="s">
        <v>697</v>
      </c>
      <c r="D475" t="s">
        <v>163</v>
      </c>
      <c r="E475" t="s">
        <v>227</v>
      </c>
      <c r="F475" t="s">
        <v>1377</v>
      </c>
      <c r="G475">
        <v>0.41666666666666669</v>
      </c>
      <c r="H475" t="s">
        <v>1375</v>
      </c>
      <c r="I475">
        <v>0.75555555555555554</v>
      </c>
      <c r="J475">
        <v>700</v>
      </c>
      <c r="K475">
        <v>0</v>
      </c>
      <c r="L475">
        <v>0</v>
      </c>
      <c r="M475">
        <v>100</v>
      </c>
      <c r="N475">
        <v>0</v>
      </c>
      <c r="O475">
        <v>0</v>
      </c>
      <c r="P475" t="s">
        <v>1376</v>
      </c>
      <c r="S475">
        <v>8.1333333333333329</v>
      </c>
      <c r="U475">
        <v>700</v>
      </c>
    </row>
    <row r="476" spans="1:21">
      <c r="A476">
        <v>44838</v>
      </c>
      <c r="B476" t="s">
        <v>696</v>
      </c>
      <c r="C476" t="s">
        <v>697</v>
      </c>
      <c r="D476" t="s">
        <v>163</v>
      </c>
      <c r="E476" t="s">
        <v>227</v>
      </c>
      <c r="F476" t="s">
        <v>1377</v>
      </c>
      <c r="G476">
        <v>0.41249999999999998</v>
      </c>
      <c r="H476" t="s">
        <v>1378</v>
      </c>
      <c r="I476">
        <v>0.70347222222222228</v>
      </c>
      <c r="J476">
        <v>0</v>
      </c>
      <c r="K476">
        <v>0</v>
      </c>
      <c r="L476">
        <v>0</v>
      </c>
      <c r="M476">
        <v>100</v>
      </c>
      <c r="N476">
        <v>0</v>
      </c>
      <c r="O476">
        <v>0</v>
      </c>
      <c r="P476" t="s">
        <v>1376</v>
      </c>
      <c r="S476">
        <v>6.9833333333333325</v>
      </c>
      <c r="U476">
        <v>0</v>
      </c>
    </row>
    <row r="477" spans="1:21">
      <c r="A477">
        <v>44840</v>
      </c>
      <c r="B477" t="s">
        <v>696</v>
      </c>
      <c r="C477" t="s">
        <v>697</v>
      </c>
      <c r="D477" t="s">
        <v>163</v>
      </c>
      <c r="E477" t="s">
        <v>227</v>
      </c>
      <c r="F477" t="s">
        <v>1378</v>
      </c>
      <c r="G477">
        <v>0.4236111111111111</v>
      </c>
      <c r="H477" t="s">
        <v>1379</v>
      </c>
      <c r="I477">
        <v>0.77222222222222225</v>
      </c>
      <c r="J477">
        <v>0</v>
      </c>
      <c r="K477">
        <v>0</v>
      </c>
      <c r="L477">
        <v>0</v>
      </c>
      <c r="M477">
        <v>100</v>
      </c>
      <c r="N477">
        <v>0</v>
      </c>
      <c r="O477">
        <v>0</v>
      </c>
      <c r="P477" t="s">
        <v>1376</v>
      </c>
      <c r="S477">
        <v>8.3666666666666654</v>
      </c>
      <c r="U477">
        <v>0</v>
      </c>
    </row>
    <row r="478" spans="1:21">
      <c r="A478">
        <v>44841</v>
      </c>
      <c r="B478" t="s">
        <v>696</v>
      </c>
      <c r="C478" t="s">
        <v>697</v>
      </c>
      <c r="D478" t="s">
        <v>163</v>
      </c>
      <c r="E478" t="s">
        <v>227</v>
      </c>
      <c r="F478" t="s">
        <v>1377</v>
      </c>
      <c r="G478">
        <v>0.41041666666666665</v>
      </c>
      <c r="H478" t="s">
        <v>1380</v>
      </c>
      <c r="I478">
        <v>0.77847222222222223</v>
      </c>
      <c r="J478">
        <v>400</v>
      </c>
      <c r="K478">
        <v>0</v>
      </c>
      <c r="L478">
        <v>0</v>
      </c>
      <c r="M478">
        <v>100</v>
      </c>
      <c r="N478">
        <v>0</v>
      </c>
      <c r="O478">
        <v>0</v>
      </c>
      <c r="P478" t="s">
        <v>1376</v>
      </c>
      <c r="S478">
        <v>8.8333333333333339</v>
      </c>
      <c r="U478">
        <v>400</v>
      </c>
    </row>
    <row r="479" spans="1:21">
      <c r="A479">
        <v>44842</v>
      </c>
      <c r="B479" t="s">
        <v>696</v>
      </c>
      <c r="C479" t="s">
        <v>697</v>
      </c>
      <c r="D479" t="s">
        <v>163</v>
      </c>
      <c r="E479" t="s">
        <v>227</v>
      </c>
      <c r="F479" t="s">
        <v>1377</v>
      </c>
      <c r="G479">
        <v>0.31180555555555556</v>
      </c>
      <c r="H479" t="s">
        <v>1381</v>
      </c>
      <c r="I479">
        <v>0.54722222222222228</v>
      </c>
      <c r="J479">
        <v>0</v>
      </c>
      <c r="K479">
        <v>0</v>
      </c>
      <c r="L479">
        <v>0</v>
      </c>
      <c r="M479">
        <v>0</v>
      </c>
      <c r="N479">
        <v>150</v>
      </c>
      <c r="O479">
        <v>0</v>
      </c>
      <c r="P479" t="s">
        <v>1376</v>
      </c>
      <c r="S479">
        <v>5.6499999999999986</v>
      </c>
      <c r="U479">
        <v>150</v>
      </c>
    </row>
    <row r="480" spans="1:21">
      <c r="A480">
        <v>44835</v>
      </c>
      <c r="B480" t="s">
        <v>27</v>
      </c>
      <c r="C480" t="s">
        <v>28</v>
      </c>
      <c r="D480" t="s">
        <v>163</v>
      </c>
      <c r="E480" t="s">
        <v>217</v>
      </c>
      <c r="F480" t="s">
        <v>1382</v>
      </c>
      <c r="G480">
        <v>0.39305555555555555</v>
      </c>
      <c r="H480" t="s">
        <v>1383</v>
      </c>
      <c r="I480">
        <v>0.74513888888888891</v>
      </c>
      <c r="J480">
        <v>0</v>
      </c>
      <c r="K480">
        <v>0</v>
      </c>
      <c r="L480">
        <v>0</v>
      </c>
      <c r="M480">
        <v>0</v>
      </c>
      <c r="N480">
        <v>120</v>
      </c>
      <c r="O480">
        <v>0</v>
      </c>
      <c r="P480" t="s">
        <v>172</v>
      </c>
      <c r="S480">
        <v>8.4500000000000011</v>
      </c>
      <c r="T480">
        <v>350</v>
      </c>
      <c r="U480">
        <v>470</v>
      </c>
    </row>
    <row r="481" spans="1:21">
      <c r="A481">
        <v>44837</v>
      </c>
      <c r="B481" t="s">
        <v>27</v>
      </c>
      <c r="C481" t="s">
        <v>28</v>
      </c>
      <c r="D481" t="s">
        <v>163</v>
      </c>
      <c r="E481" t="s">
        <v>217</v>
      </c>
      <c r="F481" t="s">
        <v>1384</v>
      </c>
      <c r="G481">
        <v>0.6166666666666667</v>
      </c>
      <c r="H481" t="s">
        <v>1384</v>
      </c>
      <c r="I481">
        <v>0.77708333333333335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 t="s">
        <v>172</v>
      </c>
      <c r="S481">
        <v>3.8499999999999996</v>
      </c>
      <c r="T481">
        <v>0</v>
      </c>
      <c r="U481">
        <v>0</v>
      </c>
    </row>
    <row r="482" spans="1:21">
      <c r="A482">
        <v>44840</v>
      </c>
      <c r="B482" t="s">
        <v>27</v>
      </c>
      <c r="C482" t="s">
        <v>28</v>
      </c>
      <c r="D482" t="s">
        <v>163</v>
      </c>
      <c r="E482" t="s">
        <v>217</v>
      </c>
      <c r="F482" t="s">
        <v>1382</v>
      </c>
      <c r="G482">
        <v>0.37708333333333333</v>
      </c>
      <c r="H482" t="s">
        <v>1385</v>
      </c>
      <c r="I482">
        <v>0.71250000000000002</v>
      </c>
      <c r="J482">
        <v>0</v>
      </c>
      <c r="K482">
        <v>0</v>
      </c>
      <c r="L482">
        <v>0</v>
      </c>
      <c r="M482">
        <v>350</v>
      </c>
      <c r="N482">
        <v>0</v>
      </c>
      <c r="O482">
        <v>0</v>
      </c>
      <c r="P482" t="s">
        <v>172</v>
      </c>
      <c r="S482">
        <v>8.0500000000000007</v>
      </c>
      <c r="T482">
        <v>350</v>
      </c>
      <c r="U482">
        <v>350</v>
      </c>
    </row>
    <row r="483" spans="1:21">
      <c r="A483">
        <v>44841</v>
      </c>
      <c r="B483" t="s">
        <v>27</v>
      </c>
      <c r="C483" t="s">
        <v>28</v>
      </c>
      <c r="D483" t="s">
        <v>163</v>
      </c>
      <c r="E483" t="s">
        <v>217</v>
      </c>
      <c r="F483" t="s">
        <v>1041</v>
      </c>
      <c r="G483">
        <v>0.47430555555555554</v>
      </c>
      <c r="H483" t="s">
        <v>1382</v>
      </c>
      <c r="I483">
        <v>0.87291666666666667</v>
      </c>
      <c r="J483">
        <v>1700</v>
      </c>
      <c r="K483">
        <v>0</v>
      </c>
      <c r="L483">
        <v>0</v>
      </c>
      <c r="M483">
        <v>350</v>
      </c>
      <c r="N483">
        <v>0</v>
      </c>
      <c r="O483">
        <v>282</v>
      </c>
      <c r="P483" t="s">
        <v>172</v>
      </c>
      <c r="S483">
        <v>9.5666666666666664</v>
      </c>
      <c r="T483">
        <v>350</v>
      </c>
      <c r="U483">
        <v>2332</v>
      </c>
    </row>
    <row r="484" spans="1:21">
      <c r="A484">
        <v>44842</v>
      </c>
      <c r="B484" t="s">
        <v>27</v>
      </c>
      <c r="C484" t="s">
        <v>28</v>
      </c>
      <c r="D484" t="s">
        <v>163</v>
      </c>
      <c r="E484" t="s">
        <v>217</v>
      </c>
      <c r="F484" t="s">
        <v>1382</v>
      </c>
      <c r="G484">
        <v>0.37569444444444444</v>
      </c>
      <c r="H484" t="s">
        <v>1382</v>
      </c>
      <c r="I484">
        <v>0.87777777777777777</v>
      </c>
      <c r="J484">
        <v>0</v>
      </c>
      <c r="K484">
        <v>0</v>
      </c>
      <c r="L484">
        <v>0</v>
      </c>
      <c r="M484">
        <v>350</v>
      </c>
      <c r="N484">
        <v>0</v>
      </c>
      <c r="O484">
        <v>0</v>
      </c>
      <c r="P484" t="s">
        <v>172</v>
      </c>
      <c r="S484">
        <v>12.05</v>
      </c>
      <c r="T484">
        <v>350</v>
      </c>
      <c r="U484">
        <v>350</v>
      </c>
    </row>
    <row r="485" spans="1:21">
      <c r="A485">
        <v>44843</v>
      </c>
      <c r="B485" t="s">
        <v>27</v>
      </c>
      <c r="C485" t="s">
        <v>28</v>
      </c>
      <c r="D485" t="s">
        <v>163</v>
      </c>
      <c r="E485" t="s">
        <v>217</v>
      </c>
      <c r="F485" t="s">
        <v>1382</v>
      </c>
      <c r="G485">
        <v>0.55902777777777779</v>
      </c>
      <c r="H485" t="s">
        <v>1382</v>
      </c>
      <c r="I485">
        <v>0.87569444444444444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 t="s">
        <v>172</v>
      </c>
      <c r="S485">
        <v>7.6</v>
      </c>
      <c r="T485">
        <v>175</v>
      </c>
      <c r="U485">
        <v>175</v>
      </c>
    </row>
    <row r="486" spans="1:21">
      <c r="A486">
        <v>44844</v>
      </c>
      <c r="B486" t="s">
        <v>27</v>
      </c>
      <c r="C486" t="s">
        <v>28</v>
      </c>
      <c r="D486" t="s">
        <v>163</v>
      </c>
      <c r="E486" t="s">
        <v>217</v>
      </c>
      <c r="F486" t="s">
        <v>1382</v>
      </c>
      <c r="G486">
        <v>0.36666666666666664</v>
      </c>
      <c r="H486" t="s">
        <v>1382</v>
      </c>
      <c r="I486">
        <v>0.87430555555555556</v>
      </c>
      <c r="J486">
        <v>0</v>
      </c>
      <c r="K486">
        <v>0</v>
      </c>
      <c r="L486">
        <v>0</v>
      </c>
      <c r="M486">
        <v>350</v>
      </c>
      <c r="N486">
        <v>0</v>
      </c>
      <c r="O486">
        <v>294</v>
      </c>
      <c r="P486" t="s">
        <v>172</v>
      </c>
      <c r="S486">
        <v>12.183333333333335</v>
      </c>
      <c r="T486">
        <v>350</v>
      </c>
      <c r="U486">
        <v>644</v>
      </c>
    </row>
    <row r="487" spans="1:21">
      <c r="A487">
        <v>44845</v>
      </c>
      <c r="B487" t="s">
        <v>27</v>
      </c>
      <c r="C487" t="s">
        <v>28</v>
      </c>
      <c r="D487" t="s">
        <v>163</v>
      </c>
      <c r="E487" t="s">
        <v>217</v>
      </c>
      <c r="F487" t="s">
        <v>1382</v>
      </c>
      <c r="G487">
        <v>0.3576388888888889</v>
      </c>
      <c r="H487" t="s">
        <v>1386</v>
      </c>
      <c r="I487">
        <v>0.86250000000000004</v>
      </c>
      <c r="J487">
        <v>1955</v>
      </c>
      <c r="K487">
        <v>0</v>
      </c>
      <c r="L487">
        <v>0</v>
      </c>
      <c r="M487">
        <v>350</v>
      </c>
      <c r="N487">
        <v>0</v>
      </c>
      <c r="O487">
        <v>0</v>
      </c>
      <c r="P487" t="s">
        <v>172</v>
      </c>
      <c r="S487">
        <v>12.116666666666664</v>
      </c>
      <c r="T487">
        <v>350</v>
      </c>
      <c r="U487">
        <v>2305</v>
      </c>
    </row>
    <row r="488" spans="1:21">
      <c r="A488">
        <v>44846</v>
      </c>
      <c r="B488" t="s">
        <v>27</v>
      </c>
      <c r="C488" t="s">
        <v>28</v>
      </c>
      <c r="D488" t="s">
        <v>163</v>
      </c>
      <c r="E488" t="s">
        <v>217</v>
      </c>
      <c r="F488" t="s">
        <v>1386</v>
      </c>
      <c r="G488">
        <v>0.38194444444444442</v>
      </c>
      <c r="H488" t="s">
        <v>1386</v>
      </c>
      <c r="I488">
        <v>0.91805555555555551</v>
      </c>
      <c r="J488">
        <v>0</v>
      </c>
      <c r="K488">
        <v>0</v>
      </c>
      <c r="L488">
        <v>0</v>
      </c>
      <c r="M488">
        <v>175</v>
      </c>
      <c r="N488">
        <v>0</v>
      </c>
      <c r="O488">
        <v>0</v>
      </c>
      <c r="P488" t="s">
        <v>172</v>
      </c>
      <c r="S488">
        <v>12.866666666666667</v>
      </c>
      <c r="T488">
        <v>350</v>
      </c>
      <c r="U488">
        <v>350</v>
      </c>
    </row>
    <row r="489" spans="1:21">
      <c r="A489">
        <v>44847</v>
      </c>
      <c r="B489" t="s">
        <v>27</v>
      </c>
      <c r="C489" t="s">
        <v>28</v>
      </c>
      <c r="D489" t="s">
        <v>163</v>
      </c>
      <c r="E489" t="s">
        <v>217</v>
      </c>
      <c r="F489" t="s">
        <v>1386</v>
      </c>
      <c r="G489">
        <v>0.37986111111111109</v>
      </c>
      <c r="H489" t="s">
        <v>1386</v>
      </c>
      <c r="I489">
        <v>0.82499999999999996</v>
      </c>
      <c r="J489">
        <v>0</v>
      </c>
      <c r="K489">
        <v>0</v>
      </c>
      <c r="L489">
        <v>0</v>
      </c>
      <c r="M489">
        <v>350</v>
      </c>
      <c r="N489">
        <v>0</v>
      </c>
      <c r="O489">
        <v>0</v>
      </c>
      <c r="P489" t="s">
        <v>172</v>
      </c>
      <c r="S489">
        <v>10.683333333333334</v>
      </c>
      <c r="T489">
        <v>350</v>
      </c>
      <c r="U489">
        <v>350</v>
      </c>
    </row>
    <row r="490" spans="1:21">
      <c r="A490">
        <v>44848</v>
      </c>
      <c r="B490" t="s">
        <v>27</v>
      </c>
      <c r="C490" t="s">
        <v>28</v>
      </c>
      <c r="D490" t="s">
        <v>163</v>
      </c>
      <c r="E490" t="s">
        <v>217</v>
      </c>
      <c r="F490" t="s">
        <v>1386</v>
      </c>
      <c r="G490">
        <v>0.37152777777777779</v>
      </c>
      <c r="H490" t="s">
        <v>1386</v>
      </c>
      <c r="I490">
        <v>0.82222222222222219</v>
      </c>
      <c r="J490">
        <v>0</v>
      </c>
      <c r="K490">
        <v>0</v>
      </c>
      <c r="L490">
        <v>0</v>
      </c>
      <c r="M490">
        <v>175</v>
      </c>
      <c r="N490">
        <v>120</v>
      </c>
      <c r="O490">
        <v>0</v>
      </c>
      <c r="P490" t="s">
        <v>172</v>
      </c>
      <c r="S490">
        <v>10.816666666666666</v>
      </c>
      <c r="T490">
        <v>350</v>
      </c>
      <c r="U490">
        <v>470</v>
      </c>
    </row>
    <row r="491" spans="1:21">
      <c r="A491">
        <v>44849</v>
      </c>
      <c r="B491" t="s">
        <v>27</v>
      </c>
      <c r="C491" t="s">
        <v>28</v>
      </c>
      <c r="D491" t="s">
        <v>163</v>
      </c>
      <c r="E491" t="s">
        <v>217</v>
      </c>
      <c r="F491" t="s">
        <v>1386</v>
      </c>
      <c r="G491">
        <v>0.38819444444444445</v>
      </c>
      <c r="H491" t="s">
        <v>1386</v>
      </c>
      <c r="I491">
        <v>0.81805555555555554</v>
      </c>
      <c r="J491">
        <v>0</v>
      </c>
      <c r="K491">
        <v>0</v>
      </c>
      <c r="L491">
        <v>0</v>
      </c>
      <c r="M491">
        <v>350</v>
      </c>
      <c r="N491">
        <v>0</v>
      </c>
      <c r="O491">
        <v>0</v>
      </c>
      <c r="P491" t="s">
        <v>172</v>
      </c>
      <c r="S491">
        <v>10.316666666666666</v>
      </c>
      <c r="T491">
        <v>350</v>
      </c>
      <c r="U491">
        <v>350</v>
      </c>
    </row>
    <row r="492" spans="1:21">
      <c r="A492">
        <v>44835</v>
      </c>
      <c r="B492" t="s">
        <v>90</v>
      </c>
      <c r="C492" t="s">
        <v>91</v>
      </c>
      <c r="D492" t="s">
        <v>163</v>
      </c>
      <c r="E492" t="s">
        <v>171</v>
      </c>
      <c r="F492" t="s">
        <v>218</v>
      </c>
      <c r="G492">
        <v>0.45763888888888887</v>
      </c>
      <c r="H492" t="s">
        <v>218</v>
      </c>
      <c r="I492">
        <v>0.87291666666666667</v>
      </c>
      <c r="J492">
        <v>0</v>
      </c>
      <c r="K492">
        <v>0</v>
      </c>
      <c r="L492">
        <v>150</v>
      </c>
      <c r="M492">
        <v>0</v>
      </c>
      <c r="N492">
        <v>0</v>
      </c>
      <c r="O492">
        <v>0</v>
      </c>
      <c r="P492" t="s">
        <v>219</v>
      </c>
      <c r="S492">
        <v>9.9666666666666668</v>
      </c>
      <c r="T492">
        <v>125</v>
      </c>
      <c r="U492">
        <v>275</v>
      </c>
    </row>
    <row r="493" spans="1:21">
      <c r="A493">
        <v>44837</v>
      </c>
      <c r="B493" t="s">
        <v>90</v>
      </c>
      <c r="C493" t="s">
        <v>91</v>
      </c>
      <c r="D493" t="s">
        <v>163</v>
      </c>
      <c r="E493" t="s">
        <v>171</v>
      </c>
      <c r="F493" t="s">
        <v>222</v>
      </c>
      <c r="G493">
        <v>0.40416666666666667</v>
      </c>
      <c r="H493" t="s">
        <v>220</v>
      </c>
      <c r="I493">
        <v>0.81111111111111112</v>
      </c>
      <c r="J493">
        <v>0</v>
      </c>
      <c r="K493">
        <v>0</v>
      </c>
      <c r="L493">
        <v>150</v>
      </c>
      <c r="M493">
        <v>0</v>
      </c>
      <c r="N493">
        <v>0</v>
      </c>
      <c r="O493">
        <v>0</v>
      </c>
      <c r="P493" t="s">
        <v>219</v>
      </c>
      <c r="S493">
        <v>9.7666666666666657</v>
      </c>
      <c r="T493">
        <v>125</v>
      </c>
      <c r="U493">
        <v>275</v>
      </c>
    </row>
    <row r="494" spans="1:21">
      <c r="A494">
        <v>44838</v>
      </c>
      <c r="B494" t="s">
        <v>90</v>
      </c>
      <c r="C494" t="s">
        <v>91</v>
      </c>
      <c r="D494" t="s">
        <v>163</v>
      </c>
      <c r="E494" t="s">
        <v>171</v>
      </c>
      <c r="F494" t="s">
        <v>218</v>
      </c>
      <c r="G494">
        <v>0.47083333333333333</v>
      </c>
      <c r="H494" t="s">
        <v>1387</v>
      </c>
      <c r="I494">
        <v>0.91597222222222219</v>
      </c>
      <c r="J494">
        <v>0</v>
      </c>
      <c r="K494">
        <v>0</v>
      </c>
      <c r="L494">
        <v>150</v>
      </c>
      <c r="M494">
        <v>0</v>
      </c>
      <c r="N494">
        <v>0</v>
      </c>
      <c r="O494">
        <v>0</v>
      </c>
      <c r="P494" t="s">
        <v>219</v>
      </c>
      <c r="S494">
        <v>10.683333333333334</v>
      </c>
      <c r="T494">
        <v>125</v>
      </c>
      <c r="U494">
        <v>275</v>
      </c>
    </row>
    <row r="495" spans="1:21">
      <c r="A495">
        <v>44839</v>
      </c>
      <c r="B495" t="s">
        <v>90</v>
      </c>
      <c r="C495" t="s">
        <v>91</v>
      </c>
      <c r="D495" t="s">
        <v>163</v>
      </c>
      <c r="E495" t="s">
        <v>171</v>
      </c>
      <c r="F495" t="s">
        <v>218</v>
      </c>
      <c r="G495">
        <v>0.40486111111111112</v>
      </c>
      <c r="H495" t="s">
        <v>218</v>
      </c>
      <c r="I495">
        <v>0.86111111111111116</v>
      </c>
      <c r="J495">
        <v>0</v>
      </c>
      <c r="K495">
        <v>0</v>
      </c>
      <c r="L495">
        <v>150</v>
      </c>
      <c r="M495">
        <v>0</v>
      </c>
      <c r="N495">
        <v>0</v>
      </c>
      <c r="O495">
        <v>0</v>
      </c>
      <c r="P495" t="s">
        <v>219</v>
      </c>
      <c r="S495">
        <v>10.95</v>
      </c>
      <c r="T495">
        <v>125</v>
      </c>
      <c r="U495">
        <v>275</v>
      </c>
    </row>
    <row r="496" spans="1:21">
      <c r="A496">
        <v>44840</v>
      </c>
      <c r="B496" t="s">
        <v>90</v>
      </c>
      <c r="C496" t="s">
        <v>91</v>
      </c>
      <c r="D496" t="s">
        <v>163</v>
      </c>
      <c r="E496" t="s">
        <v>171</v>
      </c>
      <c r="F496" t="s">
        <v>222</v>
      </c>
      <c r="G496">
        <v>0.42916666666666664</v>
      </c>
      <c r="H496" t="s">
        <v>222</v>
      </c>
      <c r="I496">
        <v>0.80625000000000002</v>
      </c>
      <c r="J496">
        <v>0</v>
      </c>
      <c r="K496">
        <v>0</v>
      </c>
      <c r="L496">
        <v>150</v>
      </c>
      <c r="M496">
        <v>0</v>
      </c>
      <c r="N496">
        <v>0</v>
      </c>
      <c r="O496">
        <v>0</v>
      </c>
      <c r="P496" t="s">
        <v>219</v>
      </c>
      <c r="S496">
        <v>9.0500000000000007</v>
      </c>
      <c r="T496">
        <v>125</v>
      </c>
      <c r="U496">
        <v>275</v>
      </c>
    </row>
    <row r="497" spans="1:21">
      <c r="A497">
        <v>44841</v>
      </c>
      <c r="B497" t="s">
        <v>90</v>
      </c>
      <c r="C497" t="s">
        <v>91</v>
      </c>
      <c r="D497" t="s">
        <v>163</v>
      </c>
      <c r="E497" t="s">
        <v>171</v>
      </c>
      <c r="F497" t="s">
        <v>221</v>
      </c>
      <c r="G497">
        <v>0.39791666666666664</v>
      </c>
      <c r="H497" t="s">
        <v>1387</v>
      </c>
      <c r="I497">
        <v>0.80277777777777781</v>
      </c>
      <c r="J497">
        <v>0</v>
      </c>
      <c r="K497">
        <v>0</v>
      </c>
      <c r="L497">
        <v>150</v>
      </c>
      <c r="M497">
        <v>0</v>
      </c>
      <c r="N497">
        <v>0</v>
      </c>
      <c r="O497">
        <v>0</v>
      </c>
      <c r="P497" t="s">
        <v>219</v>
      </c>
      <c r="S497">
        <v>9.716666666666665</v>
      </c>
      <c r="T497">
        <v>125</v>
      </c>
      <c r="U497">
        <v>275</v>
      </c>
    </row>
    <row r="498" spans="1:21">
      <c r="A498">
        <v>44842</v>
      </c>
      <c r="B498" t="s">
        <v>90</v>
      </c>
      <c r="C498" t="s">
        <v>91</v>
      </c>
      <c r="D498" t="s">
        <v>163</v>
      </c>
      <c r="E498" t="s">
        <v>171</v>
      </c>
      <c r="F498" t="s">
        <v>222</v>
      </c>
      <c r="G498">
        <v>0.45416666666666666</v>
      </c>
      <c r="H498" t="s">
        <v>221</v>
      </c>
      <c r="I498">
        <v>0.78749999999999998</v>
      </c>
      <c r="J498">
        <v>0</v>
      </c>
      <c r="K498">
        <v>0</v>
      </c>
      <c r="L498">
        <v>150</v>
      </c>
      <c r="M498">
        <v>0</v>
      </c>
      <c r="N498">
        <v>0</v>
      </c>
      <c r="O498">
        <v>0</v>
      </c>
      <c r="P498" t="s">
        <v>219</v>
      </c>
      <c r="S498">
        <v>8</v>
      </c>
      <c r="T498">
        <v>62.5</v>
      </c>
      <c r="U498">
        <v>212.5</v>
      </c>
    </row>
    <row r="499" spans="1:21">
      <c r="A499">
        <v>44844</v>
      </c>
      <c r="B499" t="s">
        <v>90</v>
      </c>
      <c r="C499" t="s">
        <v>91</v>
      </c>
      <c r="D499" t="s">
        <v>163</v>
      </c>
      <c r="E499" t="s">
        <v>171</v>
      </c>
      <c r="F499" t="s">
        <v>220</v>
      </c>
      <c r="G499">
        <v>0.42083333333333334</v>
      </c>
      <c r="H499" t="s">
        <v>1388</v>
      </c>
      <c r="I499">
        <v>0.84027777777777779</v>
      </c>
      <c r="J499">
        <v>0</v>
      </c>
      <c r="K499">
        <v>0</v>
      </c>
      <c r="L499">
        <v>150</v>
      </c>
      <c r="M499">
        <v>0</v>
      </c>
      <c r="N499">
        <v>0</v>
      </c>
      <c r="O499">
        <v>0</v>
      </c>
      <c r="P499" t="s">
        <v>219</v>
      </c>
      <c r="S499">
        <v>10.066666666666666</v>
      </c>
      <c r="T499">
        <v>125</v>
      </c>
      <c r="U499">
        <v>275</v>
      </c>
    </row>
    <row r="500" spans="1:21">
      <c r="A500">
        <v>44845</v>
      </c>
      <c r="B500" t="s">
        <v>90</v>
      </c>
      <c r="C500" t="s">
        <v>91</v>
      </c>
      <c r="D500" t="s">
        <v>163</v>
      </c>
      <c r="E500" t="s">
        <v>171</v>
      </c>
      <c r="F500" t="s">
        <v>220</v>
      </c>
      <c r="G500">
        <v>0.52708333333333335</v>
      </c>
      <c r="H500" t="s">
        <v>220</v>
      </c>
      <c r="I500">
        <v>0.84375</v>
      </c>
      <c r="J500">
        <v>0</v>
      </c>
      <c r="K500">
        <v>0</v>
      </c>
      <c r="L500">
        <v>150</v>
      </c>
      <c r="M500">
        <v>0</v>
      </c>
      <c r="N500">
        <v>0</v>
      </c>
      <c r="O500">
        <v>0</v>
      </c>
      <c r="P500" t="s">
        <v>219</v>
      </c>
      <c r="S500">
        <v>7.6</v>
      </c>
      <c r="T500">
        <v>62.5</v>
      </c>
      <c r="U500">
        <v>212.5</v>
      </c>
    </row>
    <row r="501" spans="1:21">
      <c r="A501">
        <v>44846</v>
      </c>
      <c r="B501" t="s">
        <v>90</v>
      </c>
      <c r="C501" t="s">
        <v>91</v>
      </c>
      <c r="D501" t="s">
        <v>163</v>
      </c>
      <c r="E501" t="s">
        <v>171</v>
      </c>
      <c r="F501" t="s">
        <v>1389</v>
      </c>
      <c r="G501">
        <v>0.42222222222222222</v>
      </c>
      <c r="H501" t="s">
        <v>218</v>
      </c>
      <c r="I501">
        <v>0.87222222222222223</v>
      </c>
      <c r="J501">
        <v>0</v>
      </c>
      <c r="K501">
        <v>0</v>
      </c>
      <c r="L501">
        <v>150</v>
      </c>
      <c r="M501">
        <v>0</v>
      </c>
      <c r="N501">
        <v>0</v>
      </c>
      <c r="O501">
        <v>0</v>
      </c>
      <c r="P501" t="s">
        <v>219</v>
      </c>
      <c r="S501">
        <v>10.8</v>
      </c>
      <c r="T501">
        <v>125</v>
      </c>
      <c r="U501">
        <v>275</v>
      </c>
    </row>
    <row r="502" spans="1:21">
      <c r="A502">
        <v>44847</v>
      </c>
      <c r="B502" t="s">
        <v>90</v>
      </c>
      <c r="C502" t="s">
        <v>91</v>
      </c>
      <c r="D502" t="s">
        <v>163</v>
      </c>
      <c r="E502" t="s">
        <v>171</v>
      </c>
      <c r="F502" t="s">
        <v>1387</v>
      </c>
      <c r="G502">
        <v>0.4152777777777778</v>
      </c>
      <c r="H502" t="s">
        <v>218</v>
      </c>
      <c r="I502">
        <v>0.8354166666666667</v>
      </c>
      <c r="J502">
        <v>0</v>
      </c>
      <c r="K502">
        <v>0</v>
      </c>
      <c r="L502">
        <v>150</v>
      </c>
      <c r="M502">
        <v>0</v>
      </c>
      <c r="N502">
        <v>0</v>
      </c>
      <c r="O502">
        <v>0</v>
      </c>
      <c r="P502" t="s">
        <v>219</v>
      </c>
      <c r="S502">
        <v>10.083333333333332</v>
      </c>
      <c r="T502">
        <v>125</v>
      </c>
      <c r="U502">
        <v>275</v>
      </c>
    </row>
    <row r="503" spans="1:21">
      <c r="A503">
        <v>44848</v>
      </c>
      <c r="B503" t="s">
        <v>90</v>
      </c>
      <c r="C503" t="s">
        <v>91</v>
      </c>
      <c r="D503" t="s">
        <v>163</v>
      </c>
      <c r="E503" t="s">
        <v>171</v>
      </c>
      <c r="F503" t="s">
        <v>1387</v>
      </c>
      <c r="G503">
        <v>0.42152777777777778</v>
      </c>
      <c r="H503" t="s">
        <v>218</v>
      </c>
      <c r="I503">
        <v>0.83472222222222225</v>
      </c>
      <c r="J503">
        <v>0</v>
      </c>
      <c r="K503">
        <v>0</v>
      </c>
      <c r="L503">
        <v>150</v>
      </c>
      <c r="M503">
        <v>0</v>
      </c>
      <c r="N503">
        <v>0</v>
      </c>
      <c r="O503">
        <v>0</v>
      </c>
      <c r="P503" t="s">
        <v>219</v>
      </c>
      <c r="S503">
        <v>9.9166666666666643</v>
      </c>
      <c r="T503">
        <v>125</v>
      </c>
      <c r="U503">
        <v>275</v>
      </c>
    </row>
    <row r="504" spans="1:21">
      <c r="A504">
        <v>44835</v>
      </c>
      <c r="B504" t="s">
        <v>33</v>
      </c>
      <c r="C504" t="s">
        <v>34</v>
      </c>
      <c r="D504" t="s">
        <v>163</v>
      </c>
      <c r="E504" t="s">
        <v>223</v>
      </c>
      <c r="F504" t="s">
        <v>1390</v>
      </c>
      <c r="G504">
        <v>0.32222222222222224</v>
      </c>
      <c r="H504" t="s">
        <v>1390</v>
      </c>
      <c r="I504">
        <v>0.73819444444444449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 t="s">
        <v>209</v>
      </c>
      <c r="S504">
        <v>9.9833333333333325</v>
      </c>
      <c r="T504">
        <v>350</v>
      </c>
      <c r="U504">
        <v>350</v>
      </c>
    </row>
    <row r="505" spans="1:21">
      <c r="A505">
        <v>44837</v>
      </c>
      <c r="B505" t="s">
        <v>33</v>
      </c>
      <c r="C505" t="s">
        <v>34</v>
      </c>
      <c r="D505" t="s">
        <v>163</v>
      </c>
      <c r="E505" t="s">
        <v>223</v>
      </c>
      <c r="F505" t="s">
        <v>1390</v>
      </c>
      <c r="G505">
        <v>0.37986111111111109</v>
      </c>
      <c r="H505" t="s">
        <v>1390</v>
      </c>
      <c r="I505">
        <v>0.79513888888888884</v>
      </c>
      <c r="J505">
        <v>450</v>
      </c>
      <c r="K505">
        <v>0</v>
      </c>
      <c r="L505">
        <v>0</v>
      </c>
      <c r="M505">
        <v>350</v>
      </c>
      <c r="N505">
        <v>0</v>
      </c>
      <c r="O505">
        <v>0</v>
      </c>
      <c r="P505" t="s">
        <v>209</v>
      </c>
      <c r="S505">
        <v>9.966666666666665</v>
      </c>
      <c r="T505">
        <v>350</v>
      </c>
      <c r="U505">
        <v>800</v>
      </c>
    </row>
    <row r="506" spans="1:21">
      <c r="A506">
        <v>44838</v>
      </c>
      <c r="B506" t="s">
        <v>33</v>
      </c>
      <c r="C506" t="s">
        <v>34</v>
      </c>
      <c r="D506" t="s">
        <v>163</v>
      </c>
      <c r="E506" t="s">
        <v>223</v>
      </c>
      <c r="F506" t="s">
        <v>1390</v>
      </c>
      <c r="G506">
        <v>0.42569444444444443</v>
      </c>
      <c r="H506" t="s">
        <v>1390</v>
      </c>
      <c r="I506">
        <v>0.80069444444444449</v>
      </c>
      <c r="J506">
        <v>3000</v>
      </c>
      <c r="K506">
        <v>0</v>
      </c>
      <c r="L506">
        <v>0</v>
      </c>
      <c r="M506">
        <v>0</v>
      </c>
      <c r="N506">
        <v>0</v>
      </c>
      <c r="O506">
        <v>0</v>
      </c>
      <c r="P506" t="s">
        <v>209</v>
      </c>
      <c r="S506">
        <v>8.9999999999999982</v>
      </c>
      <c r="T506">
        <v>350</v>
      </c>
      <c r="U506">
        <v>3350</v>
      </c>
    </row>
    <row r="507" spans="1:21">
      <c r="A507">
        <v>44840</v>
      </c>
      <c r="B507" t="s">
        <v>33</v>
      </c>
      <c r="C507" t="s">
        <v>34</v>
      </c>
      <c r="D507" t="s">
        <v>163</v>
      </c>
      <c r="E507" t="s">
        <v>223</v>
      </c>
      <c r="F507" t="s">
        <v>224</v>
      </c>
      <c r="G507">
        <v>0.3611111111111111</v>
      </c>
      <c r="H507" t="s">
        <v>1391</v>
      </c>
      <c r="I507">
        <v>0.69513888888888886</v>
      </c>
      <c r="J507">
        <v>0</v>
      </c>
      <c r="K507">
        <v>0</v>
      </c>
      <c r="L507">
        <v>0</v>
      </c>
      <c r="M507">
        <v>350</v>
      </c>
      <c r="N507">
        <v>0</v>
      </c>
      <c r="O507">
        <v>0</v>
      </c>
      <c r="P507" t="s">
        <v>209</v>
      </c>
      <c r="S507">
        <v>8.0166666666666657</v>
      </c>
      <c r="T507">
        <v>350</v>
      </c>
      <c r="U507">
        <v>350</v>
      </c>
    </row>
    <row r="508" spans="1:21">
      <c r="A508">
        <v>44841</v>
      </c>
      <c r="B508" t="s">
        <v>33</v>
      </c>
      <c r="C508" t="s">
        <v>34</v>
      </c>
      <c r="D508" t="s">
        <v>163</v>
      </c>
      <c r="E508" t="s">
        <v>223</v>
      </c>
      <c r="F508" t="s">
        <v>1392</v>
      </c>
      <c r="G508">
        <v>0.43472222222222223</v>
      </c>
      <c r="H508" t="s">
        <v>224</v>
      </c>
      <c r="I508">
        <v>0.77500000000000002</v>
      </c>
      <c r="J508">
        <v>800</v>
      </c>
      <c r="K508">
        <v>0</v>
      </c>
      <c r="L508">
        <v>0</v>
      </c>
      <c r="M508">
        <v>350</v>
      </c>
      <c r="N508">
        <v>0</v>
      </c>
      <c r="O508">
        <v>0</v>
      </c>
      <c r="P508" t="s">
        <v>209</v>
      </c>
      <c r="S508">
        <v>8.1666666666666679</v>
      </c>
      <c r="T508">
        <v>350</v>
      </c>
      <c r="U508">
        <v>1150</v>
      </c>
    </row>
    <row r="509" spans="1:21">
      <c r="A509">
        <v>44842</v>
      </c>
      <c r="B509" t="s">
        <v>33</v>
      </c>
      <c r="C509" t="s">
        <v>34</v>
      </c>
      <c r="D509" t="s">
        <v>163</v>
      </c>
      <c r="E509" t="s">
        <v>223</v>
      </c>
      <c r="F509" t="s">
        <v>1390</v>
      </c>
      <c r="G509">
        <v>0.37430555555555556</v>
      </c>
      <c r="H509" t="s">
        <v>224</v>
      </c>
      <c r="I509">
        <v>0.7368055555555556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 t="s">
        <v>209</v>
      </c>
      <c r="S509">
        <v>8.6999999999999993</v>
      </c>
      <c r="T509">
        <v>350</v>
      </c>
      <c r="U509">
        <v>350</v>
      </c>
    </row>
    <row r="510" spans="1:21">
      <c r="A510">
        <v>44844</v>
      </c>
      <c r="B510" t="s">
        <v>33</v>
      </c>
      <c r="C510" t="s">
        <v>34</v>
      </c>
      <c r="D510" t="s">
        <v>163</v>
      </c>
      <c r="E510" t="s">
        <v>223</v>
      </c>
      <c r="F510" t="s">
        <v>1390</v>
      </c>
      <c r="G510">
        <v>0.34097222222222223</v>
      </c>
      <c r="H510" t="s">
        <v>1390</v>
      </c>
      <c r="I510">
        <v>0.73819444444444449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 t="s">
        <v>209</v>
      </c>
      <c r="S510">
        <v>9.5333333333333314</v>
      </c>
      <c r="T510">
        <v>350</v>
      </c>
      <c r="U510">
        <v>350</v>
      </c>
    </row>
    <row r="511" spans="1:21">
      <c r="A511">
        <v>44845</v>
      </c>
      <c r="B511" t="s">
        <v>33</v>
      </c>
      <c r="C511" t="s">
        <v>34</v>
      </c>
      <c r="D511" t="s">
        <v>163</v>
      </c>
      <c r="E511" t="s">
        <v>223</v>
      </c>
      <c r="F511" t="s">
        <v>224</v>
      </c>
      <c r="G511">
        <v>0.37777777777777777</v>
      </c>
      <c r="H511" t="s">
        <v>224</v>
      </c>
      <c r="I511">
        <v>0.8125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 t="s">
        <v>209</v>
      </c>
      <c r="S511">
        <v>10.433333333333334</v>
      </c>
      <c r="T511">
        <v>350</v>
      </c>
      <c r="U511">
        <v>350</v>
      </c>
    </row>
    <row r="512" spans="1:21">
      <c r="A512">
        <v>44846</v>
      </c>
      <c r="B512" t="s">
        <v>33</v>
      </c>
      <c r="C512" t="s">
        <v>34</v>
      </c>
      <c r="D512" t="s">
        <v>163</v>
      </c>
      <c r="E512" t="s">
        <v>223</v>
      </c>
      <c r="F512" t="s">
        <v>224</v>
      </c>
      <c r="G512">
        <v>0.36805555555555558</v>
      </c>
      <c r="H512" t="s">
        <v>224</v>
      </c>
      <c r="I512">
        <v>0.7944444444444444</v>
      </c>
      <c r="J512">
        <v>1000</v>
      </c>
      <c r="K512">
        <v>0</v>
      </c>
      <c r="L512">
        <v>0</v>
      </c>
      <c r="M512">
        <v>0</v>
      </c>
      <c r="N512">
        <v>0</v>
      </c>
      <c r="O512">
        <v>0</v>
      </c>
      <c r="P512" t="s">
        <v>209</v>
      </c>
      <c r="S512">
        <v>10.233333333333333</v>
      </c>
      <c r="T512">
        <v>350</v>
      </c>
      <c r="U512">
        <v>1350</v>
      </c>
    </row>
    <row r="513" spans="1:21">
      <c r="A513">
        <v>44847</v>
      </c>
      <c r="B513" t="s">
        <v>33</v>
      </c>
      <c r="C513" t="s">
        <v>34</v>
      </c>
      <c r="D513" t="s">
        <v>163</v>
      </c>
      <c r="E513" t="s">
        <v>223</v>
      </c>
      <c r="F513" t="s">
        <v>1393</v>
      </c>
      <c r="G513">
        <v>0.37013888888888891</v>
      </c>
      <c r="H513" t="s">
        <v>224</v>
      </c>
      <c r="I513">
        <v>0.73958333333333337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 t="s">
        <v>209</v>
      </c>
      <c r="S513">
        <v>8.8666666666666654</v>
      </c>
      <c r="T513">
        <v>350</v>
      </c>
      <c r="U513">
        <v>350</v>
      </c>
    </row>
    <row r="514" spans="1:21">
      <c r="A514">
        <v>44848</v>
      </c>
      <c r="B514" t="s">
        <v>33</v>
      </c>
      <c r="C514" t="s">
        <v>34</v>
      </c>
      <c r="D514" t="s">
        <v>163</v>
      </c>
      <c r="E514" t="s">
        <v>223</v>
      </c>
      <c r="F514" t="s">
        <v>1393</v>
      </c>
      <c r="G514">
        <v>0.36944444444444446</v>
      </c>
      <c r="H514" t="s">
        <v>1390</v>
      </c>
      <c r="I514">
        <v>0.43888888888888888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 t="s">
        <v>209</v>
      </c>
      <c r="S514">
        <v>1.6666666666666674</v>
      </c>
      <c r="T514">
        <v>0</v>
      </c>
      <c r="U514">
        <v>0</v>
      </c>
    </row>
    <row r="515" spans="1:21">
      <c r="A515">
        <v>44849</v>
      </c>
      <c r="B515" t="s">
        <v>33</v>
      </c>
      <c r="C515" t="s">
        <v>34</v>
      </c>
      <c r="D515" t="s">
        <v>163</v>
      </c>
      <c r="E515" t="s">
        <v>223</v>
      </c>
      <c r="F515" t="s">
        <v>1390</v>
      </c>
      <c r="G515">
        <v>0.43888888888888888</v>
      </c>
      <c r="H515" t="s">
        <v>1394</v>
      </c>
      <c r="I515">
        <v>0.72430555555555554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 t="s">
        <v>209</v>
      </c>
      <c r="S515">
        <v>6.85</v>
      </c>
      <c r="T515">
        <v>175</v>
      </c>
      <c r="U515">
        <v>175</v>
      </c>
    </row>
    <row r="516" spans="1:21">
      <c r="A516">
        <v>44835</v>
      </c>
      <c r="B516" t="s">
        <v>729</v>
      </c>
      <c r="C516" t="s">
        <v>730</v>
      </c>
      <c r="D516" t="s">
        <v>163</v>
      </c>
      <c r="E516" t="s">
        <v>168</v>
      </c>
      <c r="F516" t="s">
        <v>1395</v>
      </c>
      <c r="G516">
        <v>0.38680555555555557</v>
      </c>
      <c r="H516" t="s">
        <v>1396</v>
      </c>
      <c r="I516">
        <v>0.81736111111111109</v>
      </c>
      <c r="J516">
        <v>0</v>
      </c>
      <c r="K516">
        <v>0</v>
      </c>
      <c r="L516">
        <v>250</v>
      </c>
      <c r="M516">
        <v>0</v>
      </c>
      <c r="N516">
        <v>0</v>
      </c>
      <c r="O516">
        <v>0</v>
      </c>
      <c r="P516" t="s">
        <v>1397</v>
      </c>
      <c r="S516">
        <v>10.333333333333334</v>
      </c>
      <c r="T516">
        <v>250</v>
      </c>
      <c r="U516">
        <v>500</v>
      </c>
    </row>
    <row r="517" spans="1:21">
      <c r="A517">
        <v>44837</v>
      </c>
      <c r="B517" t="s">
        <v>729</v>
      </c>
      <c r="C517" t="s">
        <v>730</v>
      </c>
      <c r="D517" t="s">
        <v>163</v>
      </c>
      <c r="E517" t="s">
        <v>168</v>
      </c>
      <c r="F517" t="s">
        <v>1398</v>
      </c>
      <c r="G517">
        <v>0.34444444444444444</v>
      </c>
      <c r="H517" t="s">
        <v>1398</v>
      </c>
      <c r="I517">
        <v>0.8979166666666667</v>
      </c>
      <c r="J517">
        <v>3051.86</v>
      </c>
      <c r="K517">
        <v>0</v>
      </c>
      <c r="L517">
        <v>250</v>
      </c>
      <c r="M517">
        <v>0</v>
      </c>
      <c r="N517">
        <v>0</v>
      </c>
      <c r="O517">
        <v>0</v>
      </c>
      <c r="P517" t="s">
        <v>1397</v>
      </c>
      <c r="S517">
        <v>13.283333333333331</v>
      </c>
      <c r="T517">
        <v>250</v>
      </c>
      <c r="U517">
        <v>3551.86</v>
      </c>
    </row>
    <row r="518" spans="1:21">
      <c r="A518">
        <v>44838</v>
      </c>
      <c r="B518" t="s">
        <v>729</v>
      </c>
      <c r="C518" t="s">
        <v>730</v>
      </c>
      <c r="D518" t="s">
        <v>163</v>
      </c>
      <c r="E518" t="s">
        <v>168</v>
      </c>
      <c r="F518" t="s">
        <v>1398</v>
      </c>
      <c r="G518">
        <v>0.2326388888888889</v>
      </c>
      <c r="H518" t="s">
        <v>1399</v>
      </c>
      <c r="I518">
        <v>0.96527777777777779</v>
      </c>
      <c r="J518">
        <v>3060.29</v>
      </c>
      <c r="K518">
        <v>0</v>
      </c>
      <c r="L518">
        <v>250</v>
      </c>
      <c r="M518">
        <v>0</v>
      </c>
      <c r="N518">
        <v>0</v>
      </c>
      <c r="O518">
        <v>0</v>
      </c>
      <c r="P518" t="s">
        <v>1397</v>
      </c>
      <c r="S518">
        <v>17.583333333333336</v>
      </c>
      <c r="T518">
        <v>250</v>
      </c>
      <c r="U518">
        <v>3560.29</v>
      </c>
    </row>
    <row r="519" spans="1:21">
      <c r="A519">
        <v>44839</v>
      </c>
      <c r="B519" t="s">
        <v>729</v>
      </c>
      <c r="C519" t="s">
        <v>730</v>
      </c>
      <c r="D519" t="s">
        <v>163</v>
      </c>
      <c r="E519" t="s">
        <v>168</v>
      </c>
      <c r="F519" t="s">
        <v>1398</v>
      </c>
      <c r="G519">
        <v>0.34236111111111112</v>
      </c>
      <c r="H519" t="s">
        <v>1396</v>
      </c>
      <c r="I519">
        <v>0.86458333333333337</v>
      </c>
      <c r="J519">
        <v>0</v>
      </c>
      <c r="K519">
        <v>0</v>
      </c>
      <c r="L519">
        <v>250</v>
      </c>
      <c r="M519">
        <v>0</v>
      </c>
      <c r="N519">
        <v>0</v>
      </c>
      <c r="O519">
        <v>0</v>
      </c>
      <c r="P519" t="s">
        <v>1397</v>
      </c>
      <c r="S519">
        <v>12.533333333333331</v>
      </c>
      <c r="T519">
        <v>250</v>
      </c>
      <c r="U519">
        <v>500</v>
      </c>
    </row>
    <row r="520" spans="1:21">
      <c r="A520">
        <v>44840</v>
      </c>
      <c r="B520" t="s">
        <v>729</v>
      </c>
      <c r="C520" t="s">
        <v>730</v>
      </c>
      <c r="D520" t="s">
        <v>163</v>
      </c>
      <c r="E520" t="s">
        <v>168</v>
      </c>
      <c r="F520" t="s">
        <v>1398</v>
      </c>
      <c r="G520">
        <v>0.33333333333333331</v>
      </c>
      <c r="H520" t="s">
        <v>1396</v>
      </c>
      <c r="I520">
        <v>0.93125000000000002</v>
      </c>
      <c r="J520">
        <v>0</v>
      </c>
      <c r="K520">
        <v>0</v>
      </c>
      <c r="L520">
        <v>250</v>
      </c>
      <c r="M520">
        <v>0</v>
      </c>
      <c r="N520">
        <v>0</v>
      </c>
      <c r="O520">
        <v>0</v>
      </c>
      <c r="P520" t="s">
        <v>1397</v>
      </c>
      <c r="S520">
        <v>14.35</v>
      </c>
      <c r="T520">
        <v>250</v>
      </c>
      <c r="U520">
        <v>500</v>
      </c>
    </row>
    <row r="521" spans="1:21">
      <c r="A521">
        <v>44841</v>
      </c>
      <c r="B521" t="s">
        <v>729</v>
      </c>
      <c r="C521" t="s">
        <v>730</v>
      </c>
      <c r="D521" t="s">
        <v>163</v>
      </c>
      <c r="E521" t="s">
        <v>168</v>
      </c>
      <c r="F521" t="s">
        <v>1396</v>
      </c>
      <c r="G521">
        <v>0.33819444444444446</v>
      </c>
      <c r="H521" t="s">
        <v>1396</v>
      </c>
      <c r="I521">
        <v>0.89513888888888893</v>
      </c>
      <c r="J521">
        <v>0</v>
      </c>
      <c r="K521">
        <v>0</v>
      </c>
      <c r="L521">
        <v>250</v>
      </c>
      <c r="M521">
        <v>0</v>
      </c>
      <c r="N521">
        <v>0</v>
      </c>
      <c r="O521">
        <v>0</v>
      </c>
      <c r="P521" t="s">
        <v>1397</v>
      </c>
      <c r="S521">
        <v>13.366666666666667</v>
      </c>
      <c r="T521">
        <v>250</v>
      </c>
      <c r="U521">
        <v>500</v>
      </c>
    </row>
    <row r="522" spans="1:21">
      <c r="A522">
        <v>44842</v>
      </c>
      <c r="B522" t="s">
        <v>729</v>
      </c>
      <c r="C522" t="s">
        <v>730</v>
      </c>
      <c r="D522" t="s">
        <v>163</v>
      </c>
      <c r="E522" t="s">
        <v>168</v>
      </c>
      <c r="F522" t="s">
        <v>1396</v>
      </c>
      <c r="G522">
        <v>0.36875000000000002</v>
      </c>
      <c r="H522" t="s">
        <v>1398</v>
      </c>
      <c r="I522">
        <v>0.90625</v>
      </c>
      <c r="J522">
        <v>0</v>
      </c>
      <c r="K522">
        <v>0</v>
      </c>
      <c r="L522">
        <v>250</v>
      </c>
      <c r="M522">
        <v>0</v>
      </c>
      <c r="N522">
        <v>0</v>
      </c>
      <c r="O522">
        <v>0</v>
      </c>
      <c r="P522" t="s">
        <v>1397</v>
      </c>
      <c r="S522">
        <v>12.900000000000002</v>
      </c>
      <c r="T522">
        <v>250</v>
      </c>
      <c r="U522">
        <v>500</v>
      </c>
    </row>
    <row r="523" spans="1:21">
      <c r="A523">
        <v>44843</v>
      </c>
      <c r="B523" t="s">
        <v>729</v>
      </c>
      <c r="C523" t="s">
        <v>730</v>
      </c>
      <c r="D523" t="s">
        <v>163</v>
      </c>
      <c r="E523" t="s">
        <v>168</v>
      </c>
      <c r="F523" t="s">
        <v>1396</v>
      </c>
      <c r="G523">
        <v>0.41805555555555557</v>
      </c>
      <c r="H523" t="s">
        <v>1400</v>
      </c>
      <c r="I523">
        <v>2.5694444444444443E-2</v>
      </c>
      <c r="J523">
        <v>3155.46</v>
      </c>
      <c r="K523">
        <v>0</v>
      </c>
      <c r="L523">
        <v>0</v>
      </c>
      <c r="M523">
        <v>0</v>
      </c>
      <c r="N523">
        <v>0</v>
      </c>
      <c r="O523">
        <v>0</v>
      </c>
      <c r="P523" t="s">
        <v>1397</v>
      </c>
      <c r="S523">
        <v>14.583333333333336</v>
      </c>
      <c r="T523">
        <v>250</v>
      </c>
      <c r="U523">
        <v>3405.46</v>
      </c>
    </row>
    <row r="524" spans="1:21">
      <c r="A524">
        <v>44844</v>
      </c>
      <c r="B524" t="s">
        <v>729</v>
      </c>
      <c r="C524" t="s">
        <v>730</v>
      </c>
      <c r="D524" t="s">
        <v>163</v>
      </c>
      <c r="E524" t="s">
        <v>168</v>
      </c>
      <c r="F524" t="s">
        <v>1400</v>
      </c>
      <c r="G524">
        <v>2.5694444444444443E-2</v>
      </c>
      <c r="H524" t="s">
        <v>1398</v>
      </c>
      <c r="I524">
        <v>0.88472222222222219</v>
      </c>
      <c r="J524">
        <v>0</v>
      </c>
      <c r="K524">
        <v>0</v>
      </c>
      <c r="L524">
        <v>250</v>
      </c>
      <c r="M524">
        <v>0</v>
      </c>
      <c r="N524">
        <v>0</v>
      </c>
      <c r="O524">
        <v>0</v>
      </c>
      <c r="P524" t="s">
        <v>1397</v>
      </c>
      <c r="S524">
        <v>20.616666666666667</v>
      </c>
      <c r="T524">
        <v>250</v>
      </c>
      <c r="U524">
        <v>500</v>
      </c>
    </row>
    <row r="525" spans="1:21">
      <c r="A525">
        <v>44845</v>
      </c>
      <c r="B525" t="s">
        <v>729</v>
      </c>
      <c r="C525" t="s">
        <v>730</v>
      </c>
      <c r="D525" t="s">
        <v>163</v>
      </c>
      <c r="E525" t="s">
        <v>168</v>
      </c>
      <c r="F525" t="s">
        <v>1398</v>
      </c>
      <c r="G525">
        <v>0.32291666666666669</v>
      </c>
      <c r="H525" t="s">
        <v>1396</v>
      </c>
      <c r="I525">
        <v>0.88611111111111107</v>
      </c>
      <c r="J525">
        <v>0</v>
      </c>
      <c r="K525">
        <v>0</v>
      </c>
      <c r="L525">
        <v>250</v>
      </c>
      <c r="M525">
        <v>0</v>
      </c>
      <c r="N525">
        <v>0</v>
      </c>
      <c r="O525">
        <v>0</v>
      </c>
      <c r="P525" t="s">
        <v>1397</v>
      </c>
      <c r="S525">
        <v>13.516666666666666</v>
      </c>
      <c r="T525">
        <v>250</v>
      </c>
      <c r="U525">
        <v>500</v>
      </c>
    </row>
    <row r="526" spans="1:21">
      <c r="A526">
        <v>44846</v>
      </c>
      <c r="B526" t="s">
        <v>729</v>
      </c>
      <c r="C526" t="s">
        <v>730</v>
      </c>
      <c r="D526" t="s">
        <v>163</v>
      </c>
      <c r="E526" t="s">
        <v>168</v>
      </c>
      <c r="F526" t="s">
        <v>1400</v>
      </c>
      <c r="G526">
        <v>0.3888888888888889</v>
      </c>
      <c r="H526" t="s">
        <v>1401</v>
      </c>
      <c r="I526">
        <v>0.86736111111111114</v>
      </c>
      <c r="J526">
        <v>0</v>
      </c>
      <c r="K526">
        <v>0</v>
      </c>
      <c r="L526">
        <v>250</v>
      </c>
      <c r="M526">
        <v>0</v>
      </c>
      <c r="N526">
        <v>100</v>
      </c>
      <c r="O526">
        <v>0</v>
      </c>
      <c r="P526" t="s">
        <v>1397</v>
      </c>
      <c r="S526">
        <v>11.483333333333331</v>
      </c>
      <c r="T526">
        <v>250</v>
      </c>
      <c r="U526">
        <v>600</v>
      </c>
    </row>
    <row r="527" spans="1:21">
      <c r="A527">
        <v>44847</v>
      </c>
      <c r="B527" t="s">
        <v>729</v>
      </c>
      <c r="C527" t="s">
        <v>730</v>
      </c>
      <c r="D527" t="s">
        <v>163</v>
      </c>
      <c r="E527" t="s">
        <v>168</v>
      </c>
      <c r="F527" t="s">
        <v>1400</v>
      </c>
      <c r="G527">
        <v>0.3576388888888889</v>
      </c>
      <c r="H527" t="s">
        <v>1396</v>
      </c>
      <c r="I527">
        <v>0.81736111111111109</v>
      </c>
      <c r="J527">
        <v>2500</v>
      </c>
      <c r="K527">
        <v>0</v>
      </c>
      <c r="L527">
        <v>250</v>
      </c>
      <c r="M527">
        <v>0</v>
      </c>
      <c r="N527">
        <v>0</v>
      </c>
      <c r="O527">
        <v>0</v>
      </c>
      <c r="P527" t="s">
        <v>1397</v>
      </c>
      <c r="S527">
        <v>11.033333333333333</v>
      </c>
      <c r="T527">
        <v>250</v>
      </c>
      <c r="U527">
        <v>3000</v>
      </c>
    </row>
    <row r="528" spans="1:21">
      <c r="A528">
        <v>44848</v>
      </c>
      <c r="B528" t="s">
        <v>729</v>
      </c>
      <c r="C528" t="s">
        <v>730</v>
      </c>
      <c r="D528" t="s">
        <v>163</v>
      </c>
      <c r="E528" t="s">
        <v>168</v>
      </c>
      <c r="F528" t="s">
        <v>1395</v>
      </c>
      <c r="G528">
        <v>0.3923611111111111</v>
      </c>
      <c r="H528" t="s">
        <v>1396</v>
      </c>
      <c r="I528">
        <v>0.91249999999999998</v>
      </c>
      <c r="J528">
        <v>0</v>
      </c>
      <c r="K528">
        <v>0</v>
      </c>
      <c r="L528">
        <v>250</v>
      </c>
      <c r="M528">
        <v>0</v>
      </c>
      <c r="N528">
        <v>0</v>
      </c>
      <c r="O528">
        <v>0</v>
      </c>
      <c r="P528" t="s">
        <v>1397</v>
      </c>
      <c r="S528">
        <v>12.483333333333334</v>
      </c>
      <c r="T528">
        <v>250</v>
      </c>
      <c r="U528">
        <v>500</v>
      </c>
    </row>
    <row r="529" spans="1:21">
      <c r="A529">
        <v>44849</v>
      </c>
      <c r="B529" t="s">
        <v>729</v>
      </c>
      <c r="C529" t="s">
        <v>730</v>
      </c>
      <c r="D529" t="s">
        <v>163</v>
      </c>
      <c r="E529" t="s">
        <v>168</v>
      </c>
      <c r="F529" t="s">
        <v>1396</v>
      </c>
      <c r="G529">
        <v>0.36666666666666664</v>
      </c>
      <c r="H529" t="s">
        <v>1396</v>
      </c>
      <c r="I529">
        <v>0.8618055555555556</v>
      </c>
      <c r="J529">
        <v>0</v>
      </c>
      <c r="K529">
        <v>0</v>
      </c>
      <c r="L529">
        <v>250</v>
      </c>
      <c r="M529">
        <v>0</v>
      </c>
      <c r="N529">
        <v>0</v>
      </c>
      <c r="O529">
        <v>0</v>
      </c>
      <c r="P529" t="s">
        <v>1397</v>
      </c>
      <c r="S529">
        <v>11.883333333333333</v>
      </c>
      <c r="T529">
        <v>250</v>
      </c>
      <c r="U529">
        <v>500</v>
      </c>
    </row>
    <row r="530" spans="1:21">
      <c r="A530">
        <v>44835</v>
      </c>
      <c r="B530" t="s">
        <v>92</v>
      </c>
      <c r="C530" t="s">
        <v>93</v>
      </c>
      <c r="D530" t="s">
        <v>163</v>
      </c>
      <c r="E530" t="s">
        <v>194</v>
      </c>
      <c r="F530" t="s">
        <v>1402</v>
      </c>
      <c r="G530">
        <v>0.41597222222222224</v>
      </c>
      <c r="H530" t="s">
        <v>1403</v>
      </c>
      <c r="I530">
        <v>0.77708333333333335</v>
      </c>
      <c r="J530">
        <v>300</v>
      </c>
      <c r="K530">
        <v>0</v>
      </c>
      <c r="L530">
        <v>0</v>
      </c>
      <c r="M530">
        <v>0</v>
      </c>
      <c r="N530">
        <v>0</v>
      </c>
      <c r="O530">
        <v>0</v>
      </c>
      <c r="P530" t="s">
        <v>225</v>
      </c>
      <c r="S530">
        <v>8.6666666666666679</v>
      </c>
      <c r="T530">
        <v>300</v>
      </c>
      <c r="U530">
        <v>600</v>
      </c>
    </row>
    <row r="531" spans="1:21">
      <c r="A531">
        <v>44837</v>
      </c>
      <c r="B531" t="s">
        <v>92</v>
      </c>
      <c r="C531" t="s">
        <v>93</v>
      </c>
      <c r="D531" t="s">
        <v>163</v>
      </c>
      <c r="E531" t="s">
        <v>194</v>
      </c>
      <c r="F531" t="s">
        <v>178</v>
      </c>
      <c r="G531">
        <v>0.35555555555555557</v>
      </c>
      <c r="H531" t="s">
        <v>1404</v>
      </c>
      <c r="I531">
        <v>0.79861111111111116</v>
      </c>
      <c r="J531">
        <v>1000</v>
      </c>
      <c r="K531">
        <v>0</v>
      </c>
      <c r="L531">
        <v>0</v>
      </c>
      <c r="M531">
        <v>150</v>
      </c>
      <c r="N531">
        <v>0</v>
      </c>
      <c r="O531">
        <v>0</v>
      </c>
      <c r="P531" t="s">
        <v>225</v>
      </c>
      <c r="S531">
        <v>10.633333333333333</v>
      </c>
      <c r="T531">
        <v>300</v>
      </c>
      <c r="U531">
        <v>1300</v>
      </c>
    </row>
    <row r="532" spans="1:21">
      <c r="A532">
        <v>44838</v>
      </c>
      <c r="B532" t="s">
        <v>92</v>
      </c>
      <c r="C532" t="s">
        <v>93</v>
      </c>
      <c r="D532" t="s">
        <v>163</v>
      </c>
      <c r="E532" t="s">
        <v>194</v>
      </c>
      <c r="F532" t="s">
        <v>178</v>
      </c>
      <c r="G532">
        <v>0.30902777777777779</v>
      </c>
      <c r="H532" t="s">
        <v>1405</v>
      </c>
      <c r="I532">
        <v>0.88611111111111107</v>
      </c>
      <c r="J532">
        <v>0</v>
      </c>
      <c r="K532">
        <v>0</v>
      </c>
      <c r="L532">
        <v>0</v>
      </c>
      <c r="M532">
        <v>150</v>
      </c>
      <c r="N532">
        <v>0</v>
      </c>
      <c r="O532">
        <v>0</v>
      </c>
      <c r="P532" t="s">
        <v>225</v>
      </c>
      <c r="S532">
        <v>13.849999999999998</v>
      </c>
      <c r="T532">
        <v>300</v>
      </c>
      <c r="U532">
        <v>300</v>
      </c>
    </row>
    <row r="533" spans="1:21">
      <c r="A533">
        <v>44840</v>
      </c>
      <c r="B533" t="s">
        <v>92</v>
      </c>
      <c r="C533" t="s">
        <v>93</v>
      </c>
      <c r="D533" t="s">
        <v>163</v>
      </c>
      <c r="E533" t="s">
        <v>194</v>
      </c>
      <c r="F533" t="s">
        <v>1405</v>
      </c>
      <c r="G533">
        <v>0.32500000000000001</v>
      </c>
      <c r="H533" t="s">
        <v>1403</v>
      </c>
      <c r="I533">
        <v>0.82430555555555551</v>
      </c>
      <c r="J533">
        <v>0</v>
      </c>
      <c r="K533">
        <v>0</v>
      </c>
      <c r="L533">
        <v>0</v>
      </c>
      <c r="M533">
        <v>0</v>
      </c>
      <c r="N533">
        <v>120</v>
      </c>
      <c r="O533">
        <v>0</v>
      </c>
      <c r="P533" t="s">
        <v>225</v>
      </c>
      <c r="S533">
        <v>11.983333333333333</v>
      </c>
      <c r="T533">
        <v>300</v>
      </c>
      <c r="U533">
        <v>420</v>
      </c>
    </row>
    <row r="534" spans="1:21">
      <c r="A534">
        <v>44841</v>
      </c>
      <c r="B534" t="s">
        <v>92</v>
      </c>
      <c r="C534" t="s">
        <v>93</v>
      </c>
      <c r="D534" t="s">
        <v>163</v>
      </c>
      <c r="E534" t="s">
        <v>194</v>
      </c>
      <c r="F534" t="s">
        <v>178</v>
      </c>
      <c r="G534">
        <v>0.44097222222222221</v>
      </c>
      <c r="H534" t="s">
        <v>1403</v>
      </c>
      <c r="I534">
        <v>0.81319444444444444</v>
      </c>
      <c r="J534">
        <v>0</v>
      </c>
      <c r="K534">
        <v>0</v>
      </c>
      <c r="L534">
        <v>0</v>
      </c>
      <c r="M534">
        <v>0</v>
      </c>
      <c r="N534">
        <v>220</v>
      </c>
      <c r="O534">
        <v>0</v>
      </c>
      <c r="P534" t="s">
        <v>225</v>
      </c>
      <c r="S534">
        <v>8.9333333333333336</v>
      </c>
      <c r="T534">
        <v>300</v>
      </c>
      <c r="U534">
        <v>520</v>
      </c>
    </row>
    <row r="535" spans="1:21">
      <c r="A535">
        <v>44842</v>
      </c>
      <c r="B535" t="s">
        <v>92</v>
      </c>
      <c r="C535" t="s">
        <v>93</v>
      </c>
      <c r="D535" t="s">
        <v>163</v>
      </c>
      <c r="E535" t="s">
        <v>194</v>
      </c>
      <c r="F535" t="s">
        <v>178</v>
      </c>
      <c r="G535">
        <v>0.38680555555555557</v>
      </c>
      <c r="H535" t="s">
        <v>226</v>
      </c>
      <c r="I535">
        <v>0.87013888888888891</v>
      </c>
      <c r="J535">
        <v>1000</v>
      </c>
      <c r="K535">
        <v>0</v>
      </c>
      <c r="L535">
        <v>0</v>
      </c>
      <c r="M535">
        <v>150</v>
      </c>
      <c r="N535">
        <v>0</v>
      </c>
      <c r="O535">
        <v>0</v>
      </c>
      <c r="P535" t="s">
        <v>225</v>
      </c>
      <c r="S535">
        <v>11.600000000000001</v>
      </c>
      <c r="T535">
        <v>300</v>
      </c>
      <c r="U535">
        <v>1300</v>
      </c>
    </row>
    <row r="536" spans="1:21">
      <c r="A536">
        <v>44844</v>
      </c>
      <c r="B536" t="s">
        <v>92</v>
      </c>
      <c r="C536" t="s">
        <v>93</v>
      </c>
      <c r="D536" t="s">
        <v>163</v>
      </c>
      <c r="E536" t="s">
        <v>194</v>
      </c>
      <c r="F536" t="s">
        <v>226</v>
      </c>
      <c r="G536">
        <v>0.36805555555555558</v>
      </c>
      <c r="H536" t="s">
        <v>1403</v>
      </c>
      <c r="I536">
        <v>0.78194444444444444</v>
      </c>
      <c r="J536">
        <v>0</v>
      </c>
      <c r="K536">
        <v>0</v>
      </c>
      <c r="L536">
        <v>0</v>
      </c>
      <c r="M536">
        <v>150</v>
      </c>
      <c r="N536">
        <v>0</v>
      </c>
      <c r="O536">
        <v>0</v>
      </c>
      <c r="P536" t="s">
        <v>225</v>
      </c>
      <c r="S536">
        <v>9.9333333333333336</v>
      </c>
      <c r="T536">
        <v>300</v>
      </c>
      <c r="U536">
        <v>300</v>
      </c>
    </row>
    <row r="537" spans="1:21">
      <c r="A537">
        <v>44845</v>
      </c>
      <c r="B537" t="s">
        <v>92</v>
      </c>
      <c r="C537" t="s">
        <v>93</v>
      </c>
      <c r="D537" t="s">
        <v>163</v>
      </c>
      <c r="E537" t="s">
        <v>194</v>
      </c>
      <c r="F537" t="s">
        <v>178</v>
      </c>
      <c r="G537">
        <v>0.37291666666666667</v>
      </c>
      <c r="H537" t="s">
        <v>1403</v>
      </c>
      <c r="I537">
        <v>0.81944444444444442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 t="s">
        <v>225</v>
      </c>
      <c r="S537">
        <v>10.716666666666665</v>
      </c>
      <c r="T537">
        <v>300</v>
      </c>
      <c r="U537">
        <v>300</v>
      </c>
    </row>
    <row r="538" spans="1:21">
      <c r="A538">
        <v>44846</v>
      </c>
      <c r="B538" t="s">
        <v>92</v>
      </c>
      <c r="C538" t="s">
        <v>93</v>
      </c>
      <c r="D538" t="s">
        <v>163</v>
      </c>
      <c r="E538" t="s">
        <v>194</v>
      </c>
      <c r="F538" t="s">
        <v>226</v>
      </c>
      <c r="G538">
        <v>0.42430555555555555</v>
      </c>
      <c r="H538" t="s">
        <v>1403</v>
      </c>
      <c r="I538">
        <v>0.78611111111111109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 t="s">
        <v>225</v>
      </c>
      <c r="S538">
        <v>8.6833333333333336</v>
      </c>
      <c r="T538">
        <v>300</v>
      </c>
      <c r="U538">
        <v>300</v>
      </c>
    </row>
    <row r="539" spans="1:21">
      <c r="A539">
        <v>44847</v>
      </c>
      <c r="B539" t="s">
        <v>92</v>
      </c>
      <c r="C539" t="s">
        <v>93</v>
      </c>
      <c r="D539" t="s">
        <v>163</v>
      </c>
      <c r="E539" t="s">
        <v>194</v>
      </c>
      <c r="F539" t="s">
        <v>226</v>
      </c>
      <c r="G539">
        <v>0.37430555555555556</v>
      </c>
      <c r="H539" t="s">
        <v>1403</v>
      </c>
      <c r="I539">
        <v>0.80694444444444446</v>
      </c>
      <c r="J539">
        <v>0</v>
      </c>
      <c r="K539">
        <v>0</v>
      </c>
      <c r="L539">
        <v>0</v>
      </c>
      <c r="M539">
        <v>150</v>
      </c>
      <c r="N539">
        <v>70</v>
      </c>
      <c r="O539">
        <v>0</v>
      </c>
      <c r="P539" t="s">
        <v>225</v>
      </c>
      <c r="S539">
        <v>10.383333333333333</v>
      </c>
      <c r="T539">
        <v>300</v>
      </c>
      <c r="U539">
        <v>370</v>
      </c>
    </row>
    <row r="540" spans="1:21">
      <c r="A540">
        <v>44848</v>
      </c>
      <c r="B540" t="s">
        <v>92</v>
      </c>
      <c r="C540" t="s">
        <v>93</v>
      </c>
      <c r="D540" t="s">
        <v>163</v>
      </c>
      <c r="E540" t="s">
        <v>194</v>
      </c>
      <c r="F540" t="s">
        <v>178</v>
      </c>
      <c r="G540">
        <v>0.40069444444444446</v>
      </c>
      <c r="H540" t="s">
        <v>178</v>
      </c>
      <c r="I540">
        <v>0.77986111111111112</v>
      </c>
      <c r="J540">
        <v>200</v>
      </c>
      <c r="K540">
        <v>0</v>
      </c>
      <c r="L540">
        <v>0</v>
      </c>
      <c r="M540">
        <v>0</v>
      </c>
      <c r="N540">
        <v>0</v>
      </c>
      <c r="O540">
        <v>0</v>
      </c>
      <c r="P540" t="s">
        <v>225</v>
      </c>
      <c r="S540">
        <v>9.1000000000000014</v>
      </c>
      <c r="T540">
        <v>300</v>
      </c>
      <c r="U540">
        <v>500</v>
      </c>
    </row>
    <row r="541" spans="1:21">
      <c r="A541">
        <v>44849</v>
      </c>
      <c r="B541" t="s">
        <v>92</v>
      </c>
      <c r="C541" t="s">
        <v>93</v>
      </c>
      <c r="D541" t="s">
        <v>163</v>
      </c>
      <c r="E541" t="s">
        <v>194</v>
      </c>
      <c r="F541" t="s">
        <v>1406</v>
      </c>
      <c r="G541">
        <v>0.43402777777777779</v>
      </c>
      <c r="H541" t="s">
        <v>226</v>
      </c>
      <c r="I541">
        <v>0.7895833333333333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 t="s">
        <v>225</v>
      </c>
      <c r="S541">
        <v>8.5333333333333332</v>
      </c>
      <c r="T541">
        <v>300</v>
      </c>
      <c r="U541">
        <v>300</v>
      </c>
    </row>
    <row r="542" spans="1:21">
      <c r="A542">
        <v>44835</v>
      </c>
      <c r="B542" t="s">
        <v>757</v>
      </c>
      <c r="C542" t="s">
        <v>758</v>
      </c>
      <c r="D542" t="s">
        <v>227</v>
      </c>
      <c r="E542" t="s">
        <v>171</v>
      </c>
      <c r="F542" t="s">
        <v>1407</v>
      </c>
      <c r="G542">
        <v>0.35486111111111113</v>
      </c>
      <c r="H542" t="s">
        <v>1408</v>
      </c>
      <c r="I542">
        <v>0.83888888888888891</v>
      </c>
      <c r="J542">
        <v>181</v>
      </c>
      <c r="K542">
        <v>0</v>
      </c>
      <c r="L542">
        <v>0</v>
      </c>
      <c r="M542">
        <v>0</v>
      </c>
      <c r="N542">
        <v>0</v>
      </c>
      <c r="O542">
        <v>0</v>
      </c>
      <c r="P542" t="s">
        <v>185</v>
      </c>
      <c r="S542">
        <v>11.616666666666667</v>
      </c>
      <c r="T542">
        <v>125</v>
      </c>
      <c r="U542">
        <v>306</v>
      </c>
    </row>
    <row r="543" spans="1:21">
      <c r="A543">
        <v>44837</v>
      </c>
      <c r="B543" t="s">
        <v>757</v>
      </c>
      <c r="C543" t="s">
        <v>758</v>
      </c>
      <c r="D543" t="s">
        <v>227</v>
      </c>
      <c r="E543" t="s">
        <v>171</v>
      </c>
      <c r="F543" t="s">
        <v>1409</v>
      </c>
      <c r="G543">
        <v>0.38124999999999998</v>
      </c>
      <c r="H543" t="s">
        <v>1408</v>
      </c>
      <c r="I543">
        <v>0.84027777777777779</v>
      </c>
      <c r="J543">
        <v>249</v>
      </c>
      <c r="K543">
        <v>0</v>
      </c>
      <c r="L543">
        <v>0</v>
      </c>
      <c r="M543">
        <v>0</v>
      </c>
      <c r="N543">
        <v>0</v>
      </c>
      <c r="O543">
        <v>0</v>
      </c>
      <c r="P543" t="s">
        <v>185</v>
      </c>
      <c r="S543">
        <v>11.016666666666667</v>
      </c>
      <c r="T543">
        <v>125</v>
      </c>
      <c r="U543">
        <v>374</v>
      </c>
    </row>
    <row r="544" spans="1:21">
      <c r="A544">
        <v>44838</v>
      </c>
      <c r="B544" t="s">
        <v>757</v>
      </c>
      <c r="C544" t="s">
        <v>758</v>
      </c>
      <c r="D544" t="s">
        <v>227</v>
      </c>
      <c r="E544" t="s">
        <v>171</v>
      </c>
      <c r="F544" t="s">
        <v>1407</v>
      </c>
      <c r="G544">
        <v>0.38124999999999998</v>
      </c>
      <c r="H544" t="s">
        <v>1408</v>
      </c>
      <c r="I544">
        <v>0.79583333333333328</v>
      </c>
      <c r="J544">
        <v>120</v>
      </c>
      <c r="K544">
        <v>0</v>
      </c>
      <c r="L544">
        <v>0</v>
      </c>
      <c r="M544">
        <v>0</v>
      </c>
      <c r="N544">
        <v>0</v>
      </c>
      <c r="O544">
        <v>0</v>
      </c>
      <c r="P544" t="s">
        <v>185</v>
      </c>
      <c r="S544">
        <v>9.9499999999999993</v>
      </c>
      <c r="T544">
        <v>125</v>
      </c>
      <c r="U544">
        <v>245</v>
      </c>
    </row>
    <row r="545" spans="1:21">
      <c r="A545">
        <v>44841</v>
      </c>
      <c r="B545" t="s">
        <v>757</v>
      </c>
      <c r="C545" t="s">
        <v>758</v>
      </c>
      <c r="D545" t="s">
        <v>227</v>
      </c>
      <c r="E545" t="s">
        <v>171</v>
      </c>
      <c r="F545" t="s">
        <v>1407</v>
      </c>
      <c r="G545">
        <v>0.39097222222222222</v>
      </c>
      <c r="H545" t="s">
        <v>1408</v>
      </c>
      <c r="I545">
        <v>0.84027777777777779</v>
      </c>
      <c r="J545">
        <v>220</v>
      </c>
      <c r="K545">
        <v>0</v>
      </c>
      <c r="L545">
        <v>0</v>
      </c>
      <c r="M545">
        <v>0</v>
      </c>
      <c r="N545">
        <v>0</v>
      </c>
      <c r="O545">
        <v>0</v>
      </c>
      <c r="P545" t="s">
        <v>185</v>
      </c>
      <c r="S545">
        <v>10.783333333333333</v>
      </c>
      <c r="T545">
        <v>125</v>
      </c>
      <c r="U545">
        <v>345</v>
      </c>
    </row>
    <row r="546" spans="1:21">
      <c r="A546">
        <v>44842</v>
      </c>
      <c r="B546" t="s">
        <v>757</v>
      </c>
      <c r="C546" t="s">
        <v>758</v>
      </c>
      <c r="D546" t="s">
        <v>227</v>
      </c>
      <c r="E546" t="s">
        <v>171</v>
      </c>
      <c r="F546" t="s">
        <v>1407</v>
      </c>
      <c r="G546">
        <v>0.34861111111111109</v>
      </c>
      <c r="H546" t="s">
        <v>1407</v>
      </c>
      <c r="I546">
        <v>0.8520833333333333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 t="s">
        <v>185</v>
      </c>
      <c r="S546">
        <v>12.083333333333332</v>
      </c>
      <c r="T546">
        <v>125</v>
      </c>
      <c r="U546">
        <v>125</v>
      </c>
    </row>
    <row r="547" spans="1:21">
      <c r="A547">
        <v>44844</v>
      </c>
      <c r="B547" t="s">
        <v>757</v>
      </c>
      <c r="C547" t="s">
        <v>758</v>
      </c>
      <c r="D547" t="s">
        <v>227</v>
      </c>
      <c r="E547" t="s">
        <v>171</v>
      </c>
      <c r="F547" t="s">
        <v>1410</v>
      </c>
      <c r="G547">
        <v>0.33750000000000002</v>
      </c>
      <c r="H547" t="s">
        <v>1407</v>
      </c>
      <c r="I547">
        <v>0.87083333333333335</v>
      </c>
      <c r="J547">
        <v>510</v>
      </c>
      <c r="K547">
        <v>0</v>
      </c>
      <c r="L547">
        <v>0</v>
      </c>
      <c r="M547">
        <v>0</v>
      </c>
      <c r="N547">
        <v>0</v>
      </c>
      <c r="O547">
        <v>0</v>
      </c>
      <c r="P547" t="s">
        <v>185</v>
      </c>
      <c r="S547">
        <v>12.800000000000002</v>
      </c>
      <c r="T547">
        <v>125</v>
      </c>
      <c r="U547">
        <v>635</v>
      </c>
    </row>
    <row r="548" spans="1:21">
      <c r="A548">
        <v>44845</v>
      </c>
      <c r="B548" t="s">
        <v>757</v>
      </c>
      <c r="C548" t="s">
        <v>758</v>
      </c>
      <c r="D548" t="s">
        <v>227</v>
      </c>
      <c r="E548" t="s">
        <v>171</v>
      </c>
      <c r="F548" t="s">
        <v>1410</v>
      </c>
      <c r="G548">
        <v>0.35625000000000001</v>
      </c>
      <c r="H548" t="s">
        <v>1407</v>
      </c>
      <c r="I548">
        <v>0.83611111111111114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 t="s">
        <v>185</v>
      </c>
      <c r="S548">
        <v>11.516666666666664</v>
      </c>
      <c r="T548">
        <v>125</v>
      </c>
      <c r="U548">
        <v>125</v>
      </c>
    </row>
    <row r="549" spans="1:21">
      <c r="A549">
        <v>44846</v>
      </c>
      <c r="B549" t="s">
        <v>757</v>
      </c>
      <c r="C549" t="s">
        <v>758</v>
      </c>
      <c r="D549" t="s">
        <v>227</v>
      </c>
      <c r="E549" t="s">
        <v>171</v>
      </c>
      <c r="F549" t="s">
        <v>1407</v>
      </c>
      <c r="G549">
        <v>0.31319444444444444</v>
      </c>
      <c r="H549" t="s">
        <v>1407</v>
      </c>
      <c r="I549">
        <v>0.82916666666666672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 t="s">
        <v>185</v>
      </c>
      <c r="S549">
        <v>12.383333333333333</v>
      </c>
      <c r="T549">
        <v>125</v>
      </c>
      <c r="U549">
        <v>125</v>
      </c>
    </row>
    <row r="550" spans="1:21">
      <c r="A550">
        <v>44848</v>
      </c>
      <c r="B550" t="s">
        <v>757</v>
      </c>
      <c r="C550" t="s">
        <v>758</v>
      </c>
      <c r="D550" t="s">
        <v>227</v>
      </c>
      <c r="E550" t="s">
        <v>171</v>
      </c>
      <c r="F550" t="s">
        <v>1411</v>
      </c>
      <c r="G550">
        <v>0.3576388888888889</v>
      </c>
      <c r="H550" t="s">
        <v>1408</v>
      </c>
      <c r="I550">
        <v>0.84027777777777779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 t="s">
        <v>185</v>
      </c>
      <c r="S550">
        <v>11.583333333333334</v>
      </c>
      <c r="T550">
        <v>125</v>
      </c>
      <c r="U550">
        <v>125</v>
      </c>
    </row>
    <row r="551" spans="1:21">
      <c r="A551">
        <v>44836</v>
      </c>
      <c r="B551" t="s">
        <v>768</v>
      </c>
      <c r="C551" t="s">
        <v>769</v>
      </c>
      <c r="D551" t="s">
        <v>163</v>
      </c>
      <c r="E551" t="s">
        <v>166</v>
      </c>
      <c r="F551" t="s">
        <v>1412</v>
      </c>
      <c r="G551">
        <v>0.63680555555555551</v>
      </c>
      <c r="H551" t="s">
        <v>1412</v>
      </c>
      <c r="I551">
        <v>0.65347222222222223</v>
      </c>
      <c r="J551">
        <v>295</v>
      </c>
      <c r="K551">
        <v>0</v>
      </c>
      <c r="L551">
        <v>0</v>
      </c>
      <c r="M551">
        <v>250</v>
      </c>
      <c r="N551">
        <v>0</v>
      </c>
      <c r="O551">
        <v>0</v>
      </c>
      <c r="P551" t="s">
        <v>1413</v>
      </c>
      <c r="S551">
        <v>0.40000000000000124</v>
      </c>
      <c r="T551">
        <v>0</v>
      </c>
      <c r="U551">
        <v>295</v>
      </c>
    </row>
    <row r="552" spans="1:21">
      <c r="A552">
        <v>44838</v>
      </c>
      <c r="B552" t="s">
        <v>768</v>
      </c>
      <c r="C552" t="s">
        <v>769</v>
      </c>
      <c r="D552" t="s">
        <v>163</v>
      </c>
      <c r="E552" t="s">
        <v>166</v>
      </c>
      <c r="F552" t="s">
        <v>1412</v>
      </c>
      <c r="G552">
        <v>0.37291666666666667</v>
      </c>
      <c r="H552" t="s">
        <v>1414</v>
      </c>
      <c r="I552">
        <v>0.90416666666666667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 t="s">
        <v>1413</v>
      </c>
      <c r="S552">
        <v>12.75</v>
      </c>
      <c r="T552">
        <v>250</v>
      </c>
      <c r="U552">
        <v>250</v>
      </c>
    </row>
    <row r="553" spans="1:21">
      <c r="A553">
        <v>44840</v>
      </c>
      <c r="B553" t="s">
        <v>768</v>
      </c>
      <c r="C553" t="s">
        <v>769</v>
      </c>
      <c r="D553" t="s">
        <v>163</v>
      </c>
      <c r="E553" t="s">
        <v>166</v>
      </c>
      <c r="F553" t="s">
        <v>1414</v>
      </c>
      <c r="G553">
        <v>0.90416666666666667</v>
      </c>
      <c r="H553" t="s">
        <v>1414</v>
      </c>
      <c r="I553">
        <v>0.90416666666666667</v>
      </c>
      <c r="J553">
        <v>150</v>
      </c>
      <c r="K553">
        <v>0</v>
      </c>
      <c r="L553">
        <v>0</v>
      </c>
      <c r="M553">
        <v>250</v>
      </c>
      <c r="N553">
        <v>0</v>
      </c>
      <c r="O553">
        <v>0</v>
      </c>
      <c r="P553" t="s">
        <v>1413</v>
      </c>
      <c r="S553">
        <v>0</v>
      </c>
      <c r="T553">
        <v>0</v>
      </c>
      <c r="U553">
        <v>150</v>
      </c>
    </row>
    <row r="554" spans="1:21">
      <c r="A554">
        <v>44842</v>
      </c>
      <c r="B554" t="s">
        <v>768</v>
      </c>
      <c r="C554" t="s">
        <v>769</v>
      </c>
      <c r="D554" t="s">
        <v>163</v>
      </c>
      <c r="E554" t="s">
        <v>166</v>
      </c>
      <c r="F554" t="s">
        <v>1415</v>
      </c>
      <c r="G554">
        <v>0.41388888888888886</v>
      </c>
      <c r="H554" t="s">
        <v>1415</v>
      </c>
      <c r="I554">
        <v>0.41458333333333336</v>
      </c>
      <c r="J554">
        <v>37</v>
      </c>
      <c r="K554">
        <v>0</v>
      </c>
      <c r="L554">
        <v>0</v>
      </c>
      <c r="M554">
        <v>250</v>
      </c>
      <c r="N554">
        <v>0</v>
      </c>
      <c r="O554">
        <v>0</v>
      </c>
      <c r="P554" t="s">
        <v>1413</v>
      </c>
      <c r="S554">
        <v>1.6666666666666607E-2</v>
      </c>
      <c r="T554">
        <v>0</v>
      </c>
      <c r="U554">
        <v>37</v>
      </c>
    </row>
    <row r="555" spans="1:21">
      <c r="A555">
        <v>44845</v>
      </c>
      <c r="B555" t="s">
        <v>768</v>
      </c>
      <c r="C555" t="s">
        <v>769</v>
      </c>
      <c r="D555" t="s">
        <v>163</v>
      </c>
      <c r="E555" t="s">
        <v>166</v>
      </c>
      <c r="F555" t="s">
        <v>1416</v>
      </c>
      <c r="G555">
        <v>0.46944444444444444</v>
      </c>
      <c r="H555" t="s">
        <v>1412</v>
      </c>
      <c r="I555">
        <v>2.0833333333333333E-3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 t="s">
        <v>1413</v>
      </c>
      <c r="S555">
        <v>12.783333333333333</v>
      </c>
      <c r="T555">
        <v>250</v>
      </c>
      <c r="U555">
        <v>250</v>
      </c>
    </row>
    <row r="556" spans="1:21">
      <c r="A556">
        <v>44846</v>
      </c>
      <c r="B556" t="s">
        <v>768</v>
      </c>
      <c r="C556" t="s">
        <v>769</v>
      </c>
      <c r="D556" t="s">
        <v>163</v>
      </c>
      <c r="E556" t="s">
        <v>166</v>
      </c>
      <c r="F556" t="s">
        <v>1412</v>
      </c>
      <c r="G556">
        <v>2.0833333333333333E-3</v>
      </c>
      <c r="H556" t="s">
        <v>1417</v>
      </c>
      <c r="I556">
        <v>0.93611111111111112</v>
      </c>
      <c r="J556">
        <v>150</v>
      </c>
      <c r="K556">
        <v>0</v>
      </c>
      <c r="L556">
        <v>0</v>
      </c>
      <c r="M556">
        <v>500</v>
      </c>
      <c r="N556">
        <v>0</v>
      </c>
      <c r="O556">
        <v>0</v>
      </c>
      <c r="P556" t="s">
        <v>1413</v>
      </c>
      <c r="S556">
        <v>22.416666666666668</v>
      </c>
      <c r="T556">
        <v>250</v>
      </c>
      <c r="U556">
        <v>400</v>
      </c>
    </row>
    <row r="557" spans="1:21">
      <c r="A557">
        <v>44847</v>
      </c>
      <c r="B557" t="s">
        <v>768</v>
      </c>
      <c r="C557" t="s">
        <v>769</v>
      </c>
      <c r="D557" t="s">
        <v>163</v>
      </c>
      <c r="E557" t="s">
        <v>166</v>
      </c>
      <c r="F557" t="s">
        <v>1417</v>
      </c>
      <c r="G557">
        <v>0.36944444444444446</v>
      </c>
      <c r="H557" t="s">
        <v>1418</v>
      </c>
      <c r="I557">
        <v>0.38055555555555554</v>
      </c>
      <c r="J557">
        <v>271</v>
      </c>
      <c r="K557">
        <v>0</v>
      </c>
      <c r="L557">
        <v>0</v>
      </c>
      <c r="M557">
        <v>250</v>
      </c>
      <c r="N557">
        <v>0</v>
      </c>
      <c r="O557">
        <v>0</v>
      </c>
      <c r="P557" t="s">
        <v>1413</v>
      </c>
      <c r="S557">
        <v>0.26666666666666705</v>
      </c>
      <c r="T557">
        <v>0</v>
      </c>
      <c r="U557">
        <v>271</v>
      </c>
    </row>
    <row r="558" spans="1:21">
      <c r="A558">
        <v>44848</v>
      </c>
      <c r="B558" t="s">
        <v>768</v>
      </c>
      <c r="C558" t="s">
        <v>769</v>
      </c>
      <c r="D558" t="s">
        <v>163</v>
      </c>
      <c r="E558" t="s">
        <v>166</v>
      </c>
      <c r="F558" t="s">
        <v>1418</v>
      </c>
      <c r="G558">
        <v>0.38055555555555554</v>
      </c>
      <c r="H558" t="s">
        <v>1419</v>
      </c>
      <c r="I558">
        <v>0.99861111111111112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 t="s">
        <v>1413</v>
      </c>
      <c r="S558">
        <v>14.833333333333334</v>
      </c>
      <c r="T558">
        <v>250</v>
      </c>
      <c r="U558">
        <v>250</v>
      </c>
    </row>
    <row r="559" spans="1:21">
      <c r="A559">
        <v>44835</v>
      </c>
      <c r="B559" t="s">
        <v>773</v>
      </c>
      <c r="C559" t="s">
        <v>774</v>
      </c>
      <c r="D559" t="s">
        <v>227</v>
      </c>
      <c r="E559" t="s">
        <v>171</v>
      </c>
      <c r="F559" t="s">
        <v>1420</v>
      </c>
      <c r="G559">
        <v>0.31527777777777777</v>
      </c>
      <c r="H559" t="s">
        <v>1421</v>
      </c>
      <c r="I559">
        <v>0.84375</v>
      </c>
      <c r="J559">
        <v>130</v>
      </c>
      <c r="K559">
        <v>0</v>
      </c>
      <c r="L559">
        <v>0</v>
      </c>
      <c r="M559">
        <v>100</v>
      </c>
      <c r="N559">
        <v>0</v>
      </c>
      <c r="O559">
        <v>0</v>
      </c>
      <c r="P559" t="s">
        <v>1422</v>
      </c>
      <c r="S559">
        <v>12.683333333333334</v>
      </c>
      <c r="T559">
        <v>125</v>
      </c>
      <c r="U559">
        <v>255</v>
      </c>
    </row>
    <row r="560" spans="1:21">
      <c r="A560">
        <v>44837</v>
      </c>
      <c r="B560" t="s">
        <v>773</v>
      </c>
      <c r="C560" t="s">
        <v>774</v>
      </c>
      <c r="D560" t="s">
        <v>227</v>
      </c>
      <c r="E560" t="s">
        <v>171</v>
      </c>
      <c r="F560" t="s">
        <v>178</v>
      </c>
      <c r="G560">
        <v>0.32361111111111113</v>
      </c>
      <c r="H560" t="s">
        <v>1423</v>
      </c>
      <c r="I560">
        <v>0.84652777777777777</v>
      </c>
      <c r="J560">
        <v>150</v>
      </c>
      <c r="K560">
        <v>0</v>
      </c>
      <c r="L560">
        <v>0</v>
      </c>
      <c r="M560">
        <v>100</v>
      </c>
      <c r="N560">
        <v>0</v>
      </c>
      <c r="O560">
        <v>300</v>
      </c>
      <c r="P560" t="s">
        <v>1422</v>
      </c>
      <c r="S560">
        <v>12.55</v>
      </c>
      <c r="T560">
        <v>125</v>
      </c>
      <c r="U560">
        <v>575</v>
      </c>
    </row>
    <row r="561" spans="1:21">
      <c r="A561">
        <v>44838</v>
      </c>
      <c r="B561" t="s">
        <v>773</v>
      </c>
      <c r="C561" t="s">
        <v>774</v>
      </c>
      <c r="D561" t="s">
        <v>227</v>
      </c>
      <c r="E561" t="s">
        <v>171</v>
      </c>
      <c r="F561" t="s">
        <v>1424</v>
      </c>
      <c r="G561">
        <v>0.30416666666666664</v>
      </c>
      <c r="H561" t="s">
        <v>1425</v>
      </c>
      <c r="I561">
        <v>0.72777777777777775</v>
      </c>
      <c r="J561">
        <v>200</v>
      </c>
      <c r="K561">
        <v>0</v>
      </c>
      <c r="L561">
        <v>0</v>
      </c>
      <c r="M561">
        <v>100</v>
      </c>
      <c r="N561">
        <v>0</v>
      </c>
      <c r="O561">
        <v>0</v>
      </c>
      <c r="P561" t="s">
        <v>1422</v>
      </c>
      <c r="S561">
        <v>10.166666666666666</v>
      </c>
      <c r="T561">
        <v>125</v>
      </c>
      <c r="U561">
        <v>325</v>
      </c>
    </row>
    <row r="562" spans="1:21">
      <c r="A562">
        <v>44840</v>
      </c>
      <c r="B562" t="s">
        <v>773</v>
      </c>
      <c r="C562" t="s">
        <v>774</v>
      </c>
      <c r="D562" t="s">
        <v>227</v>
      </c>
      <c r="E562" t="s">
        <v>171</v>
      </c>
      <c r="F562" t="s">
        <v>1426</v>
      </c>
      <c r="G562">
        <v>0.33194444444444443</v>
      </c>
      <c r="H562" t="s">
        <v>1423</v>
      </c>
      <c r="I562">
        <v>0.84652777777777777</v>
      </c>
      <c r="J562">
        <v>400</v>
      </c>
      <c r="K562">
        <v>0</v>
      </c>
      <c r="L562">
        <v>0</v>
      </c>
      <c r="M562">
        <v>100</v>
      </c>
      <c r="N562">
        <v>0</v>
      </c>
      <c r="O562">
        <v>0</v>
      </c>
      <c r="P562" t="s">
        <v>1422</v>
      </c>
      <c r="S562">
        <v>12.350000000000001</v>
      </c>
      <c r="T562">
        <v>125</v>
      </c>
      <c r="U562">
        <v>525</v>
      </c>
    </row>
    <row r="563" spans="1:21">
      <c r="A563">
        <v>44841</v>
      </c>
      <c r="B563" t="s">
        <v>773</v>
      </c>
      <c r="C563" t="s">
        <v>774</v>
      </c>
      <c r="D563" t="s">
        <v>227</v>
      </c>
      <c r="E563" t="s">
        <v>171</v>
      </c>
      <c r="F563" t="s">
        <v>1423</v>
      </c>
      <c r="G563">
        <v>0.33611111111111114</v>
      </c>
      <c r="H563" t="s">
        <v>1423</v>
      </c>
      <c r="I563">
        <v>0.83194444444444449</v>
      </c>
      <c r="J563">
        <v>100</v>
      </c>
      <c r="K563">
        <v>0</v>
      </c>
      <c r="L563">
        <v>0</v>
      </c>
      <c r="M563">
        <v>100</v>
      </c>
      <c r="N563">
        <v>0</v>
      </c>
      <c r="O563">
        <v>0</v>
      </c>
      <c r="P563" t="s">
        <v>1422</v>
      </c>
      <c r="S563">
        <v>11.899999999999999</v>
      </c>
      <c r="T563">
        <v>125</v>
      </c>
      <c r="U563">
        <v>225</v>
      </c>
    </row>
    <row r="564" spans="1:21">
      <c r="A564">
        <v>44842</v>
      </c>
      <c r="B564" t="s">
        <v>773</v>
      </c>
      <c r="C564" t="s">
        <v>774</v>
      </c>
      <c r="D564" t="s">
        <v>227</v>
      </c>
      <c r="E564" t="s">
        <v>171</v>
      </c>
      <c r="F564" t="s">
        <v>1427</v>
      </c>
      <c r="G564">
        <v>0.27291666666666664</v>
      </c>
      <c r="H564" t="s">
        <v>1428</v>
      </c>
      <c r="I564">
        <v>0.9194444444444444</v>
      </c>
      <c r="J564">
        <v>330</v>
      </c>
      <c r="K564">
        <v>0</v>
      </c>
      <c r="L564">
        <v>0</v>
      </c>
      <c r="M564">
        <v>100</v>
      </c>
      <c r="N564">
        <v>0</v>
      </c>
      <c r="O564">
        <v>0</v>
      </c>
      <c r="P564" t="s">
        <v>1422</v>
      </c>
      <c r="S564">
        <v>15.516666666666667</v>
      </c>
      <c r="T564">
        <v>125</v>
      </c>
      <c r="U564">
        <v>455</v>
      </c>
    </row>
    <row r="565" spans="1:21">
      <c r="A565">
        <v>44844</v>
      </c>
      <c r="B565" t="s">
        <v>773</v>
      </c>
      <c r="C565" t="s">
        <v>774</v>
      </c>
      <c r="D565" t="s">
        <v>227</v>
      </c>
      <c r="E565" t="s">
        <v>171</v>
      </c>
      <c r="F565" t="s">
        <v>1429</v>
      </c>
      <c r="G565">
        <v>0.33124999999999999</v>
      </c>
      <c r="H565" t="s">
        <v>1423</v>
      </c>
      <c r="I565">
        <v>0.83750000000000002</v>
      </c>
      <c r="J565">
        <v>110</v>
      </c>
      <c r="K565">
        <v>0</v>
      </c>
      <c r="L565">
        <v>0</v>
      </c>
      <c r="M565">
        <v>100</v>
      </c>
      <c r="N565">
        <v>0</v>
      </c>
      <c r="O565">
        <v>0</v>
      </c>
      <c r="P565" t="s">
        <v>1422</v>
      </c>
      <c r="S565">
        <v>12.149999999999997</v>
      </c>
      <c r="T565">
        <v>125</v>
      </c>
      <c r="U565">
        <v>235</v>
      </c>
    </row>
    <row r="566" spans="1:21">
      <c r="A566">
        <v>44845</v>
      </c>
      <c r="B566" t="s">
        <v>773</v>
      </c>
      <c r="C566" t="s">
        <v>774</v>
      </c>
      <c r="D566" t="s">
        <v>227</v>
      </c>
      <c r="E566" t="s">
        <v>171</v>
      </c>
      <c r="F566" t="s">
        <v>178</v>
      </c>
      <c r="G566">
        <v>0.34375</v>
      </c>
      <c r="H566" t="s">
        <v>1430</v>
      </c>
      <c r="I566">
        <v>0.84166666666666667</v>
      </c>
      <c r="J566">
        <v>250</v>
      </c>
      <c r="K566">
        <v>0</v>
      </c>
      <c r="L566">
        <v>0</v>
      </c>
      <c r="M566">
        <v>100</v>
      </c>
      <c r="N566">
        <v>0</v>
      </c>
      <c r="O566">
        <v>0</v>
      </c>
      <c r="P566" t="s">
        <v>1422</v>
      </c>
      <c r="S566">
        <v>11.95</v>
      </c>
      <c r="T566">
        <v>125</v>
      </c>
      <c r="U566">
        <v>375</v>
      </c>
    </row>
    <row r="567" spans="1:21">
      <c r="A567">
        <v>44846</v>
      </c>
      <c r="B567" t="s">
        <v>773</v>
      </c>
      <c r="C567" t="s">
        <v>774</v>
      </c>
      <c r="D567" t="s">
        <v>227</v>
      </c>
      <c r="E567" t="s">
        <v>171</v>
      </c>
      <c r="F567" t="s">
        <v>1431</v>
      </c>
      <c r="G567">
        <v>0.3347222222222222</v>
      </c>
      <c r="H567" t="s">
        <v>1432</v>
      </c>
      <c r="I567">
        <v>0.84722222222222221</v>
      </c>
      <c r="J567">
        <v>150</v>
      </c>
      <c r="K567">
        <v>0</v>
      </c>
      <c r="L567">
        <v>0</v>
      </c>
      <c r="M567">
        <v>100</v>
      </c>
      <c r="N567">
        <v>0</v>
      </c>
      <c r="O567">
        <v>0</v>
      </c>
      <c r="P567" t="s">
        <v>1422</v>
      </c>
      <c r="S567">
        <v>12.299999999999999</v>
      </c>
      <c r="T567">
        <v>125</v>
      </c>
      <c r="U567">
        <v>275</v>
      </c>
    </row>
    <row r="568" spans="1:21">
      <c r="A568">
        <v>44847</v>
      </c>
      <c r="B568" t="s">
        <v>773</v>
      </c>
      <c r="C568" t="s">
        <v>774</v>
      </c>
      <c r="D568" t="s">
        <v>227</v>
      </c>
      <c r="E568" t="s">
        <v>171</v>
      </c>
      <c r="F568" t="s">
        <v>1433</v>
      </c>
      <c r="G568">
        <v>0.3347222222222222</v>
      </c>
      <c r="H568" t="s">
        <v>1432</v>
      </c>
      <c r="I568">
        <v>0.85763888888888884</v>
      </c>
      <c r="J568">
        <v>150</v>
      </c>
      <c r="K568">
        <v>0</v>
      </c>
      <c r="L568">
        <v>0</v>
      </c>
      <c r="M568">
        <v>100</v>
      </c>
      <c r="N568">
        <v>0</v>
      </c>
      <c r="O568">
        <v>0</v>
      </c>
      <c r="P568" t="s">
        <v>1422</v>
      </c>
      <c r="S568">
        <v>12.55</v>
      </c>
      <c r="T568">
        <v>125</v>
      </c>
      <c r="U568">
        <v>275</v>
      </c>
    </row>
    <row r="569" spans="1:21">
      <c r="A569">
        <v>44848</v>
      </c>
      <c r="B569" t="s">
        <v>773</v>
      </c>
      <c r="C569" t="s">
        <v>774</v>
      </c>
      <c r="D569" t="s">
        <v>227</v>
      </c>
      <c r="E569" t="s">
        <v>171</v>
      </c>
      <c r="F569" t="s">
        <v>1434</v>
      </c>
      <c r="G569">
        <v>0.33263888888888887</v>
      </c>
      <c r="H569" t="s">
        <v>1435</v>
      </c>
      <c r="I569">
        <v>0.84930555555555554</v>
      </c>
      <c r="J569">
        <v>150</v>
      </c>
      <c r="K569">
        <v>0</v>
      </c>
      <c r="L569">
        <v>0</v>
      </c>
      <c r="M569">
        <v>100</v>
      </c>
      <c r="N569">
        <v>0</v>
      </c>
      <c r="O569">
        <v>0</v>
      </c>
      <c r="P569" t="s">
        <v>1422</v>
      </c>
      <c r="S569">
        <v>12.399999999999999</v>
      </c>
      <c r="T569">
        <v>125</v>
      </c>
      <c r="U569">
        <v>275</v>
      </c>
    </row>
    <row r="570" spans="1:21">
      <c r="A570">
        <v>44849</v>
      </c>
      <c r="B570" t="s">
        <v>773</v>
      </c>
      <c r="C570" t="s">
        <v>774</v>
      </c>
      <c r="D570" t="s">
        <v>227</v>
      </c>
      <c r="E570" t="s">
        <v>171</v>
      </c>
      <c r="F570" t="s">
        <v>1432</v>
      </c>
      <c r="G570">
        <v>0.32083333333333336</v>
      </c>
      <c r="H570" t="s">
        <v>1432</v>
      </c>
      <c r="I570">
        <v>0.81319444444444444</v>
      </c>
      <c r="J570">
        <v>150</v>
      </c>
      <c r="K570">
        <v>0</v>
      </c>
      <c r="L570">
        <v>0</v>
      </c>
      <c r="M570">
        <v>100</v>
      </c>
      <c r="N570">
        <v>0</v>
      </c>
      <c r="O570">
        <v>0</v>
      </c>
      <c r="P570" t="s">
        <v>1422</v>
      </c>
      <c r="S570">
        <v>11.816666666666666</v>
      </c>
      <c r="T570">
        <v>125</v>
      </c>
      <c r="U570">
        <v>275</v>
      </c>
    </row>
    <row r="571" spans="1:21">
      <c r="A571">
        <v>44839</v>
      </c>
      <c r="B571" t="s">
        <v>80</v>
      </c>
      <c r="C571" t="s">
        <v>81</v>
      </c>
      <c r="D571" t="s">
        <v>163</v>
      </c>
      <c r="E571" t="s">
        <v>167</v>
      </c>
      <c r="F571" t="s">
        <v>1436</v>
      </c>
      <c r="G571">
        <v>0.37638888888888888</v>
      </c>
      <c r="H571" t="s">
        <v>1437</v>
      </c>
      <c r="I571">
        <v>0.45833333333333331</v>
      </c>
      <c r="J571">
        <v>0</v>
      </c>
      <c r="K571">
        <v>0</v>
      </c>
      <c r="L571">
        <v>200</v>
      </c>
      <c r="M571">
        <v>0</v>
      </c>
      <c r="N571">
        <v>0</v>
      </c>
      <c r="O571">
        <v>0</v>
      </c>
      <c r="P571" t="s">
        <v>229</v>
      </c>
      <c r="S571">
        <v>1.9666666666666663</v>
      </c>
      <c r="T571">
        <v>0</v>
      </c>
      <c r="U571">
        <v>200</v>
      </c>
    </row>
    <row r="572" spans="1:21">
      <c r="A572">
        <v>44840</v>
      </c>
      <c r="B572" t="s">
        <v>80</v>
      </c>
      <c r="C572" t="s">
        <v>81</v>
      </c>
      <c r="D572" t="s">
        <v>163</v>
      </c>
      <c r="E572" t="s">
        <v>167</v>
      </c>
      <c r="F572" t="s">
        <v>1437</v>
      </c>
      <c r="G572">
        <v>0.45833333333333331</v>
      </c>
      <c r="H572" t="s">
        <v>1438</v>
      </c>
      <c r="I572">
        <v>0.88263888888888886</v>
      </c>
      <c r="J572">
        <v>2000</v>
      </c>
      <c r="K572">
        <v>0</v>
      </c>
      <c r="L572">
        <v>200</v>
      </c>
      <c r="M572">
        <v>0</v>
      </c>
      <c r="N572">
        <v>0</v>
      </c>
      <c r="O572">
        <v>0</v>
      </c>
      <c r="P572" t="s">
        <v>229</v>
      </c>
      <c r="S572">
        <v>10.183333333333334</v>
      </c>
      <c r="T572">
        <v>200</v>
      </c>
      <c r="U572">
        <v>2400</v>
      </c>
    </row>
    <row r="573" spans="1:21">
      <c r="A573">
        <v>44845</v>
      </c>
      <c r="B573" t="s">
        <v>80</v>
      </c>
      <c r="C573" t="s">
        <v>81</v>
      </c>
      <c r="D573" t="s">
        <v>163</v>
      </c>
      <c r="E573" t="s">
        <v>167</v>
      </c>
      <c r="F573" t="s">
        <v>1058</v>
      </c>
      <c r="G573">
        <v>0.39652777777777776</v>
      </c>
      <c r="H573" t="s">
        <v>228</v>
      </c>
      <c r="I573">
        <v>0.8881944444444444</v>
      </c>
      <c r="J573">
        <v>0</v>
      </c>
      <c r="K573">
        <v>4000</v>
      </c>
      <c r="L573">
        <v>200</v>
      </c>
      <c r="M573">
        <v>0</v>
      </c>
      <c r="N573">
        <v>0</v>
      </c>
      <c r="O573">
        <v>0</v>
      </c>
      <c r="P573" t="s">
        <v>229</v>
      </c>
      <c r="S573">
        <v>11.799999999999999</v>
      </c>
      <c r="T573">
        <v>0</v>
      </c>
      <c r="U573">
        <v>4200</v>
      </c>
    </row>
    <row r="574" spans="1:21">
      <c r="A574">
        <v>44848</v>
      </c>
      <c r="B574" t="s">
        <v>80</v>
      </c>
      <c r="C574" t="s">
        <v>81</v>
      </c>
      <c r="D574" t="s">
        <v>163</v>
      </c>
      <c r="E574" t="s">
        <v>167</v>
      </c>
      <c r="F574" t="s">
        <v>1438</v>
      </c>
      <c r="G574">
        <v>0.34027777777777779</v>
      </c>
      <c r="H574" t="s">
        <v>1439</v>
      </c>
      <c r="I574">
        <v>0.74930555555555556</v>
      </c>
      <c r="J574">
        <v>0</v>
      </c>
      <c r="K574">
        <v>0</v>
      </c>
      <c r="L574">
        <v>200</v>
      </c>
      <c r="M574">
        <v>0</v>
      </c>
      <c r="N574">
        <v>0</v>
      </c>
      <c r="O574">
        <v>0</v>
      </c>
      <c r="P574" t="s">
        <v>229</v>
      </c>
      <c r="S574">
        <v>9.8166666666666664</v>
      </c>
      <c r="T574">
        <v>200</v>
      </c>
      <c r="U574">
        <v>400</v>
      </c>
    </row>
    <row r="575" spans="1:21">
      <c r="A575">
        <v>44835</v>
      </c>
      <c r="B575" t="s">
        <v>23</v>
      </c>
      <c r="C575" t="s">
        <v>24</v>
      </c>
      <c r="D575" t="s">
        <v>163</v>
      </c>
      <c r="E575" t="s">
        <v>194</v>
      </c>
      <c r="F575" t="s">
        <v>1440</v>
      </c>
      <c r="G575">
        <v>0.41388888888888886</v>
      </c>
      <c r="H575" t="s">
        <v>1441</v>
      </c>
      <c r="I575">
        <v>0.96111111111111114</v>
      </c>
      <c r="J575">
        <v>2000</v>
      </c>
      <c r="K575">
        <v>0</v>
      </c>
      <c r="L575">
        <v>0</v>
      </c>
      <c r="M575">
        <v>300</v>
      </c>
      <c r="N575">
        <v>0</v>
      </c>
      <c r="O575">
        <v>0</v>
      </c>
      <c r="P575" t="s">
        <v>230</v>
      </c>
      <c r="S575">
        <v>13.133333333333333</v>
      </c>
      <c r="T575">
        <v>300</v>
      </c>
      <c r="U575">
        <v>2300</v>
      </c>
    </row>
    <row r="576" spans="1:21">
      <c r="A576">
        <v>44836</v>
      </c>
      <c r="B576" t="s">
        <v>23</v>
      </c>
      <c r="C576" t="s">
        <v>24</v>
      </c>
      <c r="D576" t="s">
        <v>163</v>
      </c>
      <c r="E576" t="s">
        <v>194</v>
      </c>
      <c r="F576" t="s">
        <v>1442</v>
      </c>
      <c r="G576">
        <v>0.36458333333333331</v>
      </c>
      <c r="H576" t="s">
        <v>1443</v>
      </c>
      <c r="I576">
        <v>0.76875000000000004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 t="s">
        <v>230</v>
      </c>
      <c r="S576">
        <v>9.6999999999999993</v>
      </c>
      <c r="T576">
        <v>300</v>
      </c>
      <c r="U576">
        <v>300</v>
      </c>
    </row>
    <row r="577" spans="1:21">
      <c r="A577">
        <v>44837</v>
      </c>
      <c r="B577" t="s">
        <v>23</v>
      </c>
      <c r="C577" t="s">
        <v>24</v>
      </c>
      <c r="D577" t="s">
        <v>163</v>
      </c>
      <c r="E577" t="s">
        <v>194</v>
      </c>
      <c r="F577" t="s">
        <v>1442</v>
      </c>
      <c r="G577">
        <v>0.41180555555555554</v>
      </c>
      <c r="H577" t="s">
        <v>1442</v>
      </c>
      <c r="I577">
        <v>0.84027777777777779</v>
      </c>
      <c r="J577">
        <v>0</v>
      </c>
      <c r="K577">
        <v>0</v>
      </c>
      <c r="L577">
        <v>0</v>
      </c>
      <c r="M577">
        <v>300</v>
      </c>
      <c r="N577">
        <v>0</v>
      </c>
      <c r="O577">
        <v>0</v>
      </c>
      <c r="P577" t="s">
        <v>230</v>
      </c>
      <c r="S577">
        <v>10.283333333333335</v>
      </c>
      <c r="T577">
        <v>300</v>
      </c>
      <c r="U577">
        <v>300</v>
      </c>
    </row>
    <row r="578" spans="1:21">
      <c r="A578">
        <v>44838</v>
      </c>
      <c r="B578" t="s">
        <v>23</v>
      </c>
      <c r="C578" t="s">
        <v>24</v>
      </c>
      <c r="D578" t="s">
        <v>163</v>
      </c>
      <c r="E578" t="s">
        <v>194</v>
      </c>
      <c r="F578" t="s">
        <v>1442</v>
      </c>
      <c r="G578">
        <v>0.37152777777777779</v>
      </c>
      <c r="H578" t="s">
        <v>1441</v>
      </c>
      <c r="I578">
        <v>0.96111111111111114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 t="s">
        <v>230</v>
      </c>
      <c r="S578">
        <v>14.149999999999999</v>
      </c>
      <c r="T578">
        <v>300</v>
      </c>
      <c r="U578">
        <v>300</v>
      </c>
    </row>
    <row r="579" spans="1:21">
      <c r="A579">
        <v>44840</v>
      </c>
      <c r="B579" t="s">
        <v>23</v>
      </c>
      <c r="C579" t="s">
        <v>24</v>
      </c>
      <c r="D579" t="s">
        <v>163</v>
      </c>
      <c r="E579" t="s">
        <v>194</v>
      </c>
      <c r="F579" t="s">
        <v>1442</v>
      </c>
      <c r="G579">
        <v>0.375</v>
      </c>
      <c r="H579" t="s">
        <v>1442</v>
      </c>
      <c r="I579">
        <v>0.84722222222222221</v>
      </c>
      <c r="J579">
        <v>2000</v>
      </c>
      <c r="K579">
        <v>0</v>
      </c>
      <c r="L579">
        <v>0</v>
      </c>
      <c r="M579">
        <v>0</v>
      </c>
      <c r="N579">
        <v>50</v>
      </c>
      <c r="O579">
        <v>0</v>
      </c>
      <c r="P579" t="s">
        <v>230</v>
      </c>
      <c r="S579">
        <v>11.333333333333332</v>
      </c>
      <c r="T579">
        <v>300</v>
      </c>
      <c r="U579">
        <v>2350</v>
      </c>
    </row>
    <row r="580" spans="1:21">
      <c r="A580">
        <v>44841</v>
      </c>
      <c r="B580" t="s">
        <v>23</v>
      </c>
      <c r="C580" t="s">
        <v>24</v>
      </c>
      <c r="D580" t="s">
        <v>163</v>
      </c>
      <c r="E580" t="s">
        <v>194</v>
      </c>
      <c r="F580" t="s">
        <v>1442</v>
      </c>
      <c r="G580">
        <v>0.39305555555555555</v>
      </c>
      <c r="H580" t="s">
        <v>1442</v>
      </c>
      <c r="I580">
        <v>0.9506944444444444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 t="s">
        <v>230</v>
      </c>
      <c r="S580">
        <v>13.383333333333331</v>
      </c>
      <c r="T580">
        <v>300</v>
      </c>
      <c r="U580">
        <v>300</v>
      </c>
    </row>
    <row r="581" spans="1:21">
      <c r="A581">
        <v>44842</v>
      </c>
      <c r="B581" t="s">
        <v>23</v>
      </c>
      <c r="C581" t="s">
        <v>24</v>
      </c>
      <c r="D581" t="s">
        <v>163</v>
      </c>
      <c r="E581" t="s">
        <v>194</v>
      </c>
      <c r="F581" t="s">
        <v>1444</v>
      </c>
      <c r="G581">
        <v>0.3263888888888889</v>
      </c>
      <c r="H581" t="s">
        <v>1445</v>
      </c>
      <c r="I581">
        <v>0.98402777777777772</v>
      </c>
      <c r="J581">
        <v>240</v>
      </c>
      <c r="K581">
        <v>0</v>
      </c>
      <c r="L581">
        <v>0</v>
      </c>
      <c r="M581">
        <v>300</v>
      </c>
      <c r="N581">
        <v>0</v>
      </c>
      <c r="O581">
        <v>0</v>
      </c>
      <c r="P581" t="s">
        <v>230</v>
      </c>
      <c r="S581">
        <v>15.783333333333333</v>
      </c>
      <c r="T581">
        <v>300</v>
      </c>
      <c r="U581">
        <v>540</v>
      </c>
    </row>
    <row r="582" spans="1:21">
      <c r="A582">
        <v>44843</v>
      </c>
      <c r="B582" t="s">
        <v>23</v>
      </c>
      <c r="C582" t="s">
        <v>24</v>
      </c>
      <c r="D582" t="s">
        <v>163</v>
      </c>
      <c r="E582" t="s">
        <v>194</v>
      </c>
      <c r="F582" t="s">
        <v>1446</v>
      </c>
      <c r="G582">
        <v>0.5395833333333333</v>
      </c>
      <c r="H582" t="s">
        <v>1442</v>
      </c>
      <c r="I582">
        <v>0.92638888888888893</v>
      </c>
      <c r="J582">
        <v>180</v>
      </c>
      <c r="K582">
        <v>0</v>
      </c>
      <c r="L582">
        <v>0</v>
      </c>
      <c r="M582">
        <v>0</v>
      </c>
      <c r="N582">
        <v>0</v>
      </c>
      <c r="O582">
        <v>0</v>
      </c>
      <c r="P582" t="s">
        <v>230</v>
      </c>
      <c r="S582">
        <v>9.2833333333333314</v>
      </c>
      <c r="T582">
        <v>300</v>
      </c>
      <c r="U582">
        <v>480</v>
      </c>
    </row>
    <row r="583" spans="1:21">
      <c r="A583">
        <v>44844</v>
      </c>
      <c r="B583" t="s">
        <v>23</v>
      </c>
      <c r="C583" t="s">
        <v>24</v>
      </c>
      <c r="D583" t="s">
        <v>163</v>
      </c>
      <c r="E583" t="s">
        <v>194</v>
      </c>
      <c r="F583" t="s">
        <v>1447</v>
      </c>
      <c r="G583">
        <v>0.37638888888888888</v>
      </c>
      <c r="H583" t="s">
        <v>1441</v>
      </c>
      <c r="I583">
        <v>0.88402777777777775</v>
      </c>
      <c r="J583">
        <v>0</v>
      </c>
      <c r="K583">
        <v>0</v>
      </c>
      <c r="L583">
        <v>0</v>
      </c>
      <c r="M583">
        <v>300</v>
      </c>
      <c r="N583">
        <v>0</v>
      </c>
      <c r="O583">
        <v>0</v>
      </c>
      <c r="P583" t="s">
        <v>230</v>
      </c>
      <c r="S583">
        <v>12.183333333333334</v>
      </c>
      <c r="T583">
        <v>300</v>
      </c>
      <c r="U583">
        <v>300</v>
      </c>
    </row>
    <row r="584" spans="1:21">
      <c r="A584">
        <v>44845</v>
      </c>
      <c r="B584" t="s">
        <v>23</v>
      </c>
      <c r="C584" t="s">
        <v>24</v>
      </c>
      <c r="D584" t="s">
        <v>163</v>
      </c>
      <c r="E584" t="s">
        <v>194</v>
      </c>
      <c r="F584" t="s">
        <v>1442</v>
      </c>
      <c r="G584">
        <v>0.37152777777777779</v>
      </c>
      <c r="H584" t="s">
        <v>1442</v>
      </c>
      <c r="I584">
        <v>0.83333333333333337</v>
      </c>
      <c r="J584">
        <v>0</v>
      </c>
      <c r="K584">
        <v>0</v>
      </c>
      <c r="L584">
        <v>0</v>
      </c>
      <c r="M584">
        <v>300</v>
      </c>
      <c r="N584">
        <v>0</v>
      </c>
      <c r="O584">
        <v>0</v>
      </c>
      <c r="P584" t="s">
        <v>230</v>
      </c>
      <c r="S584">
        <v>11.083333333333332</v>
      </c>
      <c r="T584">
        <v>300</v>
      </c>
      <c r="U584">
        <v>300</v>
      </c>
    </row>
    <row r="585" spans="1:21">
      <c r="A585">
        <v>44846</v>
      </c>
      <c r="B585" t="s">
        <v>23</v>
      </c>
      <c r="C585" t="s">
        <v>24</v>
      </c>
      <c r="D585" t="s">
        <v>163</v>
      </c>
      <c r="E585" t="s">
        <v>194</v>
      </c>
      <c r="F585" t="s">
        <v>1447</v>
      </c>
      <c r="G585">
        <v>0.38055555555555554</v>
      </c>
      <c r="H585" t="s">
        <v>1442</v>
      </c>
      <c r="I585">
        <v>0.92638888888888893</v>
      </c>
      <c r="J585">
        <v>2000</v>
      </c>
      <c r="K585">
        <v>0</v>
      </c>
      <c r="L585">
        <v>0</v>
      </c>
      <c r="M585">
        <v>300</v>
      </c>
      <c r="N585">
        <v>0</v>
      </c>
      <c r="O585">
        <v>0</v>
      </c>
      <c r="P585" t="s">
        <v>230</v>
      </c>
      <c r="S585">
        <v>13.099999999999998</v>
      </c>
      <c r="T585">
        <v>300</v>
      </c>
      <c r="U585">
        <v>2300</v>
      </c>
    </row>
    <row r="586" spans="1:21">
      <c r="A586">
        <v>44847</v>
      </c>
      <c r="B586" t="s">
        <v>23</v>
      </c>
      <c r="C586" t="s">
        <v>24</v>
      </c>
      <c r="D586" t="s">
        <v>163</v>
      </c>
      <c r="E586" t="s">
        <v>194</v>
      </c>
      <c r="F586" t="s">
        <v>1441</v>
      </c>
      <c r="G586">
        <v>0.38958333333333334</v>
      </c>
      <c r="H586" t="s">
        <v>1441</v>
      </c>
      <c r="I586">
        <v>0.82430555555555551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 t="s">
        <v>230</v>
      </c>
      <c r="S586">
        <v>10.433333333333332</v>
      </c>
      <c r="T586">
        <v>300</v>
      </c>
      <c r="U586">
        <v>300</v>
      </c>
    </row>
    <row r="587" spans="1:21">
      <c r="A587">
        <v>44848</v>
      </c>
      <c r="B587" t="s">
        <v>23</v>
      </c>
      <c r="C587" t="s">
        <v>24</v>
      </c>
      <c r="D587" t="s">
        <v>163</v>
      </c>
      <c r="E587" t="s">
        <v>194</v>
      </c>
      <c r="F587" t="s">
        <v>178</v>
      </c>
      <c r="G587">
        <v>0.37361111111111112</v>
      </c>
      <c r="H587" t="s">
        <v>1442</v>
      </c>
      <c r="I587">
        <v>0.85</v>
      </c>
      <c r="J587">
        <v>170</v>
      </c>
      <c r="K587">
        <v>0</v>
      </c>
      <c r="L587">
        <v>0</v>
      </c>
      <c r="M587">
        <v>300</v>
      </c>
      <c r="N587">
        <v>0</v>
      </c>
      <c r="O587">
        <v>0</v>
      </c>
      <c r="P587" t="s">
        <v>230</v>
      </c>
      <c r="S587">
        <v>11.433333333333334</v>
      </c>
      <c r="T587">
        <v>300</v>
      </c>
      <c r="U587">
        <v>470</v>
      </c>
    </row>
    <row r="588" spans="1:21">
      <c r="A588">
        <v>44849</v>
      </c>
      <c r="B588" t="s">
        <v>23</v>
      </c>
      <c r="C588" t="s">
        <v>24</v>
      </c>
      <c r="D588" t="s">
        <v>163</v>
      </c>
      <c r="E588" t="s">
        <v>194</v>
      </c>
      <c r="F588" t="s">
        <v>1442</v>
      </c>
      <c r="G588">
        <v>0.40555555555555556</v>
      </c>
      <c r="H588" t="s">
        <v>1442</v>
      </c>
      <c r="I588">
        <v>0.8354166666666667</v>
      </c>
      <c r="J588">
        <v>0</v>
      </c>
      <c r="K588">
        <v>0</v>
      </c>
      <c r="L588">
        <v>0</v>
      </c>
      <c r="M588">
        <v>300</v>
      </c>
      <c r="N588">
        <v>60</v>
      </c>
      <c r="O588">
        <v>0</v>
      </c>
      <c r="P588" t="s">
        <v>230</v>
      </c>
      <c r="S588">
        <v>10.316666666666665</v>
      </c>
      <c r="T588">
        <v>300</v>
      </c>
      <c r="U588">
        <v>360</v>
      </c>
    </row>
    <row r="589" spans="1:21">
      <c r="A589">
        <v>44835</v>
      </c>
      <c r="B589" t="s">
        <v>66</v>
      </c>
      <c r="C589" t="s">
        <v>67</v>
      </c>
      <c r="D589" t="s">
        <v>163</v>
      </c>
      <c r="E589" t="s">
        <v>171</v>
      </c>
      <c r="F589" t="s">
        <v>1448</v>
      </c>
      <c r="G589">
        <v>0.36805555555555558</v>
      </c>
      <c r="H589" t="s">
        <v>1449</v>
      </c>
      <c r="I589">
        <v>0.92638888888888893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 t="s">
        <v>231</v>
      </c>
      <c r="S589">
        <v>13.4</v>
      </c>
      <c r="T589">
        <v>125</v>
      </c>
      <c r="U589">
        <v>125</v>
      </c>
    </row>
    <row r="590" spans="1:21">
      <c r="A590">
        <v>44837</v>
      </c>
      <c r="B590" t="s">
        <v>66</v>
      </c>
      <c r="C590" t="s">
        <v>67</v>
      </c>
      <c r="D590" t="s">
        <v>163</v>
      </c>
      <c r="E590" t="s">
        <v>171</v>
      </c>
      <c r="F590" t="s">
        <v>1448</v>
      </c>
      <c r="G590">
        <v>0.3347222222222222</v>
      </c>
      <c r="H590" t="s">
        <v>1450</v>
      </c>
      <c r="I590">
        <v>0.32777777777777778</v>
      </c>
      <c r="J590">
        <v>500</v>
      </c>
      <c r="K590">
        <v>0</v>
      </c>
      <c r="L590">
        <v>0</v>
      </c>
      <c r="M590">
        <v>100</v>
      </c>
      <c r="N590">
        <v>0</v>
      </c>
      <c r="O590">
        <v>0</v>
      </c>
      <c r="P590" t="s">
        <v>231</v>
      </c>
      <c r="S590">
        <v>23.833333333333336</v>
      </c>
      <c r="T590">
        <v>125</v>
      </c>
      <c r="U590">
        <v>625</v>
      </c>
    </row>
    <row r="591" spans="1:21">
      <c r="A591">
        <v>44838</v>
      </c>
      <c r="B591" t="s">
        <v>66</v>
      </c>
      <c r="C591" t="s">
        <v>67</v>
      </c>
      <c r="D591" t="s">
        <v>163</v>
      </c>
      <c r="E591" t="s">
        <v>171</v>
      </c>
      <c r="F591" t="s">
        <v>1450</v>
      </c>
      <c r="G591">
        <v>0.32777777777777778</v>
      </c>
      <c r="H591" t="s">
        <v>1450</v>
      </c>
      <c r="I591">
        <v>0.93194444444444446</v>
      </c>
      <c r="J591">
        <v>0</v>
      </c>
      <c r="K591">
        <v>0</v>
      </c>
      <c r="L591">
        <v>0</v>
      </c>
      <c r="M591">
        <v>100</v>
      </c>
      <c r="N591">
        <v>0</v>
      </c>
      <c r="O591">
        <v>0</v>
      </c>
      <c r="P591" t="s">
        <v>231</v>
      </c>
      <c r="S591">
        <v>14.499999999999996</v>
      </c>
      <c r="T591">
        <v>125</v>
      </c>
      <c r="U591">
        <v>125</v>
      </c>
    </row>
    <row r="592" spans="1:21">
      <c r="A592">
        <v>44840</v>
      </c>
      <c r="B592" t="s">
        <v>66</v>
      </c>
      <c r="C592" t="s">
        <v>67</v>
      </c>
      <c r="D592" t="s">
        <v>163</v>
      </c>
      <c r="E592" t="s">
        <v>171</v>
      </c>
      <c r="F592" t="s">
        <v>1451</v>
      </c>
      <c r="G592">
        <v>0.31458333333333333</v>
      </c>
      <c r="H592" t="s">
        <v>1448</v>
      </c>
      <c r="I592">
        <v>0.96319444444444446</v>
      </c>
      <c r="J592">
        <v>500</v>
      </c>
      <c r="K592">
        <v>0</v>
      </c>
      <c r="L592">
        <v>0</v>
      </c>
      <c r="M592">
        <v>100</v>
      </c>
      <c r="N592">
        <v>0</v>
      </c>
      <c r="O592">
        <v>0</v>
      </c>
      <c r="P592" t="s">
        <v>231</v>
      </c>
      <c r="S592">
        <v>15.566666666666665</v>
      </c>
      <c r="T592">
        <v>125</v>
      </c>
      <c r="U592">
        <v>625</v>
      </c>
    </row>
    <row r="593" spans="1:21">
      <c r="A593">
        <v>44841</v>
      </c>
      <c r="B593" t="s">
        <v>66</v>
      </c>
      <c r="C593" t="s">
        <v>67</v>
      </c>
      <c r="D593" t="s">
        <v>163</v>
      </c>
      <c r="E593" t="s">
        <v>171</v>
      </c>
      <c r="F593" t="s">
        <v>1448</v>
      </c>
      <c r="G593">
        <v>0.32708333333333334</v>
      </c>
      <c r="H593" t="s">
        <v>1452</v>
      </c>
      <c r="I593">
        <v>0.93402777777777779</v>
      </c>
      <c r="J593">
        <v>0</v>
      </c>
      <c r="K593">
        <v>0</v>
      </c>
      <c r="L593">
        <v>0</v>
      </c>
      <c r="M593">
        <v>100</v>
      </c>
      <c r="N593">
        <v>0</v>
      </c>
      <c r="O593">
        <v>0</v>
      </c>
      <c r="P593" t="s">
        <v>231</v>
      </c>
      <c r="S593">
        <v>14.566666666666668</v>
      </c>
      <c r="T593">
        <v>125</v>
      </c>
      <c r="U593">
        <v>125</v>
      </c>
    </row>
    <row r="594" spans="1:21">
      <c r="A594">
        <v>44842</v>
      </c>
      <c r="B594" t="s">
        <v>66</v>
      </c>
      <c r="C594" t="s">
        <v>67</v>
      </c>
      <c r="D594" t="s">
        <v>163</v>
      </c>
      <c r="E594" t="s">
        <v>171</v>
      </c>
      <c r="F594" t="s">
        <v>1450</v>
      </c>
      <c r="G594">
        <v>0.27430555555555558</v>
      </c>
      <c r="H594" t="s">
        <v>1448</v>
      </c>
      <c r="I594">
        <v>0.96597222222222223</v>
      </c>
      <c r="J594">
        <v>500</v>
      </c>
      <c r="K594">
        <v>0</v>
      </c>
      <c r="L594">
        <v>0</v>
      </c>
      <c r="M594">
        <v>0</v>
      </c>
      <c r="N594">
        <v>0</v>
      </c>
      <c r="O594">
        <v>0</v>
      </c>
      <c r="P594" t="s">
        <v>231</v>
      </c>
      <c r="S594">
        <v>16.600000000000001</v>
      </c>
      <c r="T594">
        <v>125</v>
      </c>
      <c r="U594">
        <v>625</v>
      </c>
    </row>
    <row r="595" spans="1:21">
      <c r="A595">
        <v>44844</v>
      </c>
      <c r="B595" t="s">
        <v>66</v>
      </c>
      <c r="C595" t="s">
        <v>67</v>
      </c>
      <c r="D595" t="s">
        <v>163</v>
      </c>
      <c r="E595" t="s">
        <v>171</v>
      </c>
      <c r="F595" t="s">
        <v>1453</v>
      </c>
      <c r="G595">
        <v>0.3298611111111111</v>
      </c>
      <c r="H595" t="s">
        <v>1448</v>
      </c>
      <c r="I595">
        <v>0.95</v>
      </c>
      <c r="J595">
        <v>500</v>
      </c>
      <c r="K595">
        <v>0</v>
      </c>
      <c r="L595">
        <v>0</v>
      </c>
      <c r="M595">
        <v>100</v>
      </c>
      <c r="N595">
        <v>169</v>
      </c>
      <c r="O595">
        <v>0</v>
      </c>
      <c r="P595" t="s">
        <v>231</v>
      </c>
      <c r="S595">
        <v>14.883333333333331</v>
      </c>
      <c r="T595">
        <v>125</v>
      </c>
      <c r="U595">
        <v>794</v>
      </c>
    </row>
    <row r="596" spans="1:21">
      <c r="A596">
        <v>44845</v>
      </c>
      <c r="B596" t="s">
        <v>66</v>
      </c>
      <c r="C596" t="s">
        <v>67</v>
      </c>
      <c r="D596" t="s">
        <v>163</v>
      </c>
      <c r="E596" t="s">
        <v>171</v>
      </c>
      <c r="F596" t="s">
        <v>1448</v>
      </c>
      <c r="G596">
        <v>0.31458333333333333</v>
      </c>
      <c r="H596" t="s">
        <v>1448</v>
      </c>
      <c r="I596">
        <v>0.95277777777777772</v>
      </c>
      <c r="J596">
        <v>0</v>
      </c>
      <c r="K596">
        <v>0</v>
      </c>
      <c r="L596">
        <v>0</v>
      </c>
      <c r="M596">
        <v>100</v>
      </c>
      <c r="N596">
        <v>0</v>
      </c>
      <c r="O596">
        <v>0</v>
      </c>
      <c r="P596" t="s">
        <v>231</v>
      </c>
      <c r="S596">
        <v>15.316666666666666</v>
      </c>
      <c r="T596">
        <v>125</v>
      </c>
      <c r="U596">
        <v>125</v>
      </c>
    </row>
    <row r="597" spans="1:21">
      <c r="A597">
        <v>44846</v>
      </c>
      <c r="B597" t="s">
        <v>66</v>
      </c>
      <c r="C597" t="s">
        <v>67</v>
      </c>
      <c r="D597" t="s">
        <v>163</v>
      </c>
      <c r="E597" t="s">
        <v>171</v>
      </c>
      <c r="F597" t="s">
        <v>1448</v>
      </c>
      <c r="G597">
        <v>0.27986111111111112</v>
      </c>
      <c r="H597" t="s">
        <v>1454</v>
      </c>
      <c r="I597">
        <v>0.29097222222222224</v>
      </c>
      <c r="J597">
        <v>360</v>
      </c>
      <c r="K597">
        <v>0</v>
      </c>
      <c r="L597">
        <v>0</v>
      </c>
      <c r="M597">
        <v>100</v>
      </c>
      <c r="N597">
        <v>0</v>
      </c>
      <c r="O597">
        <v>0</v>
      </c>
      <c r="P597" t="s">
        <v>231</v>
      </c>
      <c r="S597">
        <v>0.26666666666666572</v>
      </c>
      <c r="T597">
        <v>0</v>
      </c>
      <c r="U597">
        <v>360</v>
      </c>
    </row>
    <row r="598" spans="1:21">
      <c r="A598">
        <v>44847</v>
      </c>
      <c r="B598" t="s">
        <v>66</v>
      </c>
      <c r="C598" t="s">
        <v>67</v>
      </c>
      <c r="D598" t="s">
        <v>163</v>
      </c>
      <c r="E598" t="s">
        <v>171</v>
      </c>
      <c r="F598" t="s">
        <v>1454</v>
      </c>
      <c r="G598">
        <v>0.29097222222222224</v>
      </c>
      <c r="H598" t="s">
        <v>1455</v>
      </c>
      <c r="I598">
        <v>0.35625000000000001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 t="s">
        <v>231</v>
      </c>
      <c r="S598">
        <v>1.5666666666666678</v>
      </c>
      <c r="T598">
        <v>0</v>
      </c>
      <c r="U598">
        <v>0</v>
      </c>
    </row>
    <row r="599" spans="1:21">
      <c r="A599">
        <v>44848</v>
      </c>
      <c r="B599" t="s">
        <v>66</v>
      </c>
      <c r="C599" t="s">
        <v>67</v>
      </c>
      <c r="D599" t="s">
        <v>163</v>
      </c>
      <c r="E599" t="s">
        <v>171</v>
      </c>
      <c r="F599" t="s">
        <v>1455</v>
      </c>
      <c r="G599">
        <v>0.35625000000000001</v>
      </c>
      <c r="H599" t="s">
        <v>1448</v>
      </c>
      <c r="I599">
        <v>0.95902777777777781</v>
      </c>
      <c r="J599">
        <v>410</v>
      </c>
      <c r="K599">
        <v>0</v>
      </c>
      <c r="L599">
        <v>0</v>
      </c>
      <c r="M599">
        <v>300</v>
      </c>
      <c r="N599">
        <v>0</v>
      </c>
      <c r="O599">
        <v>0</v>
      </c>
      <c r="P599" t="s">
        <v>231</v>
      </c>
      <c r="S599">
        <v>14.466666666666663</v>
      </c>
      <c r="T599">
        <v>125</v>
      </c>
      <c r="U599">
        <v>535</v>
      </c>
    </row>
    <row r="600" spans="1:21">
      <c r="A600">
        <v>44849</v>
      </c>
      <c r="B600" t="s">
        <v>66</v>
      </c>
      <c r="C600" t="s">
        <v>67</v>
      </c>
      <c r="D600" t="s">
        <v>163</v>
      </c>
      <c r="E600" t="s">
        <v>171</v>
      </c>
      <c r="F600" t="s">
        <v>1448</v>
      </c>
      <c r="G600">
        <v>0.33750000000000002</v>
      </c>
      <c r="H600" t="s">
        <v>1450</v>
      </c>
      <c r="I600">
        <v>0.94305555555555554</v>
      </c>
      <c r="J600">
        <v>0</v>
      </c>
      <c r="K600">
        <v>0</v>
      </c>
      <c r="L600">
        <v>0</v>
      </c>
      <c r="M600">
        <v>100</v>
      </c>
      <c r="N600">
        <v>0</v>
      </c>
      <c r="O600">
        <v>0</v>
      </c>
      <c r="P600" t="s">
        <v>231</v>
      </c>
      <c r="S600">
        <v>14.533333333333335</v>
      </c>
      <c r="T600">
        <v>125</v>
      </c>
      <c r="U600">
        <v>125</v>
      </c>
    </row>
    <row r="601" spans="1:21">
      <c r="A601">
        <v>44835</v>
      </c>
      <c r="B601" t="s">
        <v>68</v>
      </c>
      <c r="C601" t="s">
        <v>69</v>
      </c>
      <c r="D601" t="s">
        <v>163</v>
      </c>
      <c r="E601" t="s">
        <v>167</v>
      </c>
      <c r="F601" t="s">
        <v>1456</v>
      </c>
      <c r="G601">
        <v>0.36319444444444443</v>
      </c>
      <c r="H601" t="s">
        <v>1456</v>
      </c>
      <c r="I601">
        <v>0.78888888888888886</v>
      </c>
      <c r="J601">
        <v>0</v>
      </c>
      <c r="K601">
        <v>0</v>
      </c>
      <c r="L601">
        <v>200</v>
      </c>
      <c r="M601">
        <v>0</v>
      </c>
      <c r="N601">
        <v>0</v>
      </c>
      <c r="O601">
        <v>0</v>
      </c>
      <c r="P601" t="s">
        <v>190</v>
      </c>
      <c r="S601">
        <v>10.216666666666667</v>
      </c>
      <c r="T601">
        <v>200</v>
      </c>
      <c r="U601">
        <v>400</v>
      </c>
    </row>
    <row r="602" spans="1:21">
      <c r="A602">
        <v>44837</v>
      </c>
      <c r="B602" t="s">
        <v>68</v>
      </c>
      <c r="C602" t="s">
        <v>69</v>
      </c>
      <c r="D602" t="s">
        <v>163</v>
      </c>
      <c r="E602" t="s">
        <v>167</v>
      </c>
      <c r="F602" t="s">
        <v>1457</v>
      </c>
      <c r="G602">
        <v>0.36666666666666664</v>
      </c>
      <c r="H602" t="s">
        <v>1058</v>
      </c>
      <c r="I602">
        <v>0.81388888888888888</v>
      </c>
      <c r="J602">
        <v>0</v>
      </c>
      <c r="K602">
        <v>0</v>
      </c>
      <c r="L602">
        <v>200</v>
      </c>
      <c r="M602">
        <v>0</v>
      </c>
      <c r="N602">
        <v>0</v>
      </c>
      <c r="O602">
        <v>0</v>
      </c>
      <c r="P602" t="s">
        <v>190</v>
      </c>
      <c r="S602">
        <v>10.733333333333334</v>
      </c>
      <c r="T602">
        <v>200</v>
      </c>
      <c r="U602">
        <v>400</v>
      </c>
    </row>
    <row r="603" spans="1:21">
      <c r="A603">
        <v>44838</v>
      </c>
      <c r="B603" t="s">
        <v>68</v>
      </c>
      <c r="C603" t="s">
        <v>69</v>
      </c>
      <c r="D603" t="s">
        <v>163</v>
      </c>
      <c r="E603" t="s">
        <v>167</v>
      </c>
      <c r="F603" t="s">
        <v>1456</v>
      </c>
      <c r="G603">
        <v>0.35208333333333336</v>
      </c>
      <c r="H603" t="s">
        <v>1456</v>
      </c>
      <c r="I603">
        <v>0.76597222222222228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 t="s">
        <v>190</v>
      </c>
      <c r="S603">
        <v>9.9333333333333336</v>
      </c>
      <c r="T603">
        <v>200</v>
      </c>
      <c r="U603">
        <v>200</v>
      </c>
    </row>
    <row r="604" spans="1:21">
      <c r="A604">
        <v>44839</v>
      </c>
      <c r="B604" t="s">
        <v>68</v>
      </c>
      <c r="C604" t="s">
        <v>69</v>
      </c>
      <c r="D604" t="s">
        <v>163</v>
      </c>
      <c r="E604" t="s">
        <v>167</v>
      </c>
      <c r="F604" t="s">
        <v>1458</v>
      </c>
      <c r="G604">
        <v>0.31736111111111109</v>
      </c>
      <c r="H604" t="s">
        <v>1457</v>
      </c>
      <c r="I604">
        <v>0.70486111111111116</v>
      </c>
      <c r="J604">
        <v>0</v>
      </c>
      <c r="K604">
        <v>0</v>
      </c>
      <c r="L604">
        <v>200</v>
      </c>
      <c r="M604">
        <v>0</v>
      </c>
      <c r="N604">
        <v>0</v>
      </c>
      <c r="O604">
        <v>0</v>
      </c>
      <c r="P604" t="s">
        <v>190</v>
      </c>
      <c r="S604">
        <v>9.2999999999999989</v>
      </c>
      <c r="T604">
        <v>200</v>
      </c>
      <c r="U604">
        <v>400</v>
      </c>
    </row>
    <row r="605" spans="1:21">
      <c r="A605">
        <v>44840</v>
      </c>
      <c r="B605" t="s">
        <v>68</v>
      </c>
      <c r="C605" t="s">
        <v>69</v>
      </c>
      <c r="D605" t="s">
        <v>163</v>
      </c>
      <c r="E605" t="s">
        <v>167</v>
      </c>
      <c r="F605" t="s">
        <v>1457</v>
      </c>
      <c r="G605">
        <v>0.3298611111111111</v>
      </c>
      <c r="H605" t="s">
        <v>1459</v>
      </c>
      <c r="I605">
        <v>0.73333333333333328</v>
      </c>
      <c r="J605">
        <v>500</v>
      </c>
      <c r="K605">
        <v>0</v>
      </c>
      <c r="L605">
        <v>200</v>
      </c>
      <c r="M605">
        <v>0</v>
      </c>
      <c r="N605">
        <v>0</v>
      </c>
      <c r="O605">
        <v>0</v>
      </c>
      <c r="P605" t="s">
        <v>190</v>
      </c>
      <c r="S605">
        <v>9.6833333333333318</v>
      </c>
      <c r="T605">
        <v>200</v>
      </c>
      <c r="U605">
        <v>900</v>
      </c>
    </row>
    <row r="606" spans="1:21">
      <c r="A606">
        <v>44841</v>
      </c>
      <c r="B606" t="s">
        <v>68</v>
      </c>
      <c r="C606" t="s">
        <v>69</v>
      </c>
      <c r="D606" t="s">
        <v>163</v>
      </c>
      <c r="E606" t="s">
        <v>167</v>
      </c>
      <c r="F606" t="s">
        <v>1457</v>
      </c>
      <c r="G606">
        <v>0.34583333333333333</v>
      </c>
      <c r="H606" t="s">
        <v>1459</v>
      </c>
      <c r="I606">
        <v>0.72222222222222221</v>
      </c>
      <c r="J606">
        <v>0</v>
      </c>
      <c r="K606">
        <v>0</v>
      </c>
      <c r="L606">
        <v>200</v>
      </c>
      <c r="M606">
        <v>0</v>
      </c>
      <c r="N606">
        <v>0</v>
      </c>
      <c r="O606">
        <v>0</v>
      </c>
      <c r="P606" t="s">
        <v>190</v>
      </c>
      <c r="S606">
        <v>9.0333333333333332</v>
      </c>
      <c r="T606">
        <v>200</v>
      </c>
      <c r="U606">
        <v>400</v>
      </c>
    </row>
    <row r="607" spans="1:21">
      <c r="A607">
        <v>44842</v>
      </c>
      <c r="B607" t="s">
        <v>68</v>
      </c>
      <c r="C607" t="s">
        <v>69</v>
      </c>
      <c r="D607" t="s">
        <v>163</v>
      </c>
      <c r="E607" t="s">
        <v>167</v>
      </c>
      <c r="F607" t="s">
        <v>1459</v>
      </c>
      <c r="G607">
        <v>0.3527777777777778</v>
      </c>
      <c r="H607" t="s">
        <v>1459</v>
      </c>
      <c r="I607">
        <v>0.75347222222222221</v>
      </c>
      <c r="J607">
        <v>0</v>
      </c>
      <c r="K607">
        <v>0</v>
      </c>
      <c r="L607">
        <v>200</v>
      </c>
      <c r="M607">
        <v>0</v>
      </c>
      <c r="N607">
        <v>0</v>
      </c>
      <c r="O607">
        <v>0</v>
      </c>
      <c r="P607" t="s">
        <v>190</v>
      </c>
      <c r="S607">
        <v>9.6166666666666671</v>
      </c>
      <c r="T607">
        <v>200</v>
      </c>
      <c r="U607">
        <v>400</v>
      </c>
    </row>
    <row r="608" spans="1:21">
      <c r="A608">
        <v>44844</v>
      </c>
      <c r="B608" t="s">
        <v>68</v>
      </c>
      <c r="C608" t="s">
        <v>69</v>
      </c>
      <c r="D608" t="s">
        <v>163</v>
      </c>
      <c r="E608" t="s">
        <v>167</v>
      </c>
      <c r="F608" t="s">
        <v>1460</v>
      </c>
      <c r="G608">
        <v>0.34583333333333333</v>
      </c>
      <c r="H608" t="s">
        <v>1459</v>
      </c>
      <c r="I608">
        <v>0.75347222222222221</v>
      </c>
      <c r="J608">
        <v>0</v>
      </c>
      <c r="K608">
        <v>0</v>
      </c>
      <c r="L608">
        <v>200</v>
      </c>
      <c r="M608">
        <v>0</v>
      </c>
      <c r="N608">
        <v>0</v>
      </c>
      <c r="O608">
        <v>0</v>
      </c>
      <c r="P608" t="s">
        <v>190</v>
      </c>
      <c r="S608">
        <v>9.7833333333333332</v>
      </c>
      <c r="T608">
        <v>200</v>
      </c>
      <c r="U608">
        <v>400</v>
      </c>
    </row>
    <row r="609" spans="1:21">
      <c r="A609">
        <v>44845</v>
      </c>
      <c r="B609" t="s">
        <v>68</v>
      </c>
      <c r="C609" t="s">
        <v>69</v>
      </c>
      <c r="D609" t="s">
        <v>163</v>
      </c>
      <c r="E609" t="s">
        <v>167</v>
      </c>
      <c r="F609" t="s">
        <v>1460</v>
      </c>
      <c r="G609">
        <v>0.28472222222222221</v>
      </c>
      <c r="H609" t="s">
        <v>1058</v>
      </c>
      <c r="I609">
        <v>0.81388888888888888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 t="s">
        <v>190</v>
      </c>
      <c r="S609">
        <v>12.7</v>
      </c>
      <c r="T609">
        <v>200</v>
      </c>
      <c r="U609">
        <v>200</v>
      </c>
    </row>
    <row r="610" spans="1:21">
      <c r="A610">
        <v>44846</v>
      </c>
      <c r="B610" t="s">
        <v>68</v>
      </c>
      <c r="C610" t="s">
        <v>69</v>
      </c>
      <c r="D610" t="s">
        <v>163</v>
      </c>
      <c r="E610" t="s">
        <v>167</v>
      </c>
      <c r="F610" t="s">
        <v>1178</v>
      </c>
      <c r="G610">
        <v>0.30763888888888891</v>
      </c>
      <c r="H610" t="s">
        <v>1460</v>
      </c>
      <c r="I610">
        <v>0.66388888888888886</v>
      </c>
      <c r="J610">
        <v>0</v>
      </c>
      <c r="K610">
        <v>2662</v>
      </c>
      <c r="L610">
        <v>200</v>
      </c>
      <c r="M610">
        <v>0</v>
      </c>
      <c r="N610">
        <v>0</v>
      </c>
      <c r="O610">
        <v>0</v>
      </c>
      <c r="P610" t="s">
        <v>190</v>
      </c>
      <c r="S610">
        <v>8.5500000000000007</v>
      </c>
      <c r="T610">
        <v>0</v>
      </c>
      <c r="U610">
        <v>2862</v>
      </c>
    </row>
    <row r="611" spans="1:21">
      <c r="A611">
        <v>44847</v>
      </c>
      <c r="B611" t="s">
        <v>68</v>
      </c>
      <c r="C611" t="s">
        <v>69</v>
      </c>
      <c r="D611" t="s">
        <v>163</v>
      </c>
      <c r="E611" t="s">
        <v>167</v>
      </c>
      <c r="F611" t="s">
        <v>1457</v>
      </c>
      <c r="G611">
        <v>0.36249999999999999</v>
      </c>
      <c r="H611" t="s">
        <v>1460</v>
      </c>
      <c r="I611">
        <v>0.80069444444444449</v>
      </c>
      <c r="J611">
        <v>0</v>
      </c>
      <c r="K611">
        <v>0</v>
      </c>
      <c r="L611">
        <v>200</v>
      </c>
      <c r="M611">
        <v>0</v>
      </c>
      <c r="N611">
        <v>0</v>
      </c>
      <c r="O611">
        <v>0</v>
      </c>
      <c r="P611" t="s">
        <v>190</v>
      </c>
      <c r="S611">
        <v>10.516666666666666</v>
      </c>
      <c r="T611">
        <v>200</v>
      </c>
      <c r="U611">
        <v>400</v>
      </c>
    </row>
    <row r="612" spans="1:21">
      <c r="A612">
        <v>44848</v>
      </c>
      <c r="B612" t="s">
        <v>68</v>
      </c>
      <c r="C612" t="s">
        <v>69</v>
      </c>
      <c r="D612" t="s">
        <v>163</v>
      </c>
      <c r="E612" t="s">
        <v>167</v>
      </c>
      <c r="F612" t="s">
        <v>1460</v>
      </c>
      <c r="G612">
        <v>0.28055555555555556</v>
      </c>
      <c r="H612" t="s">
        <v>1459</v>
      </c>
      <c r="I612">
        <v>0.76736111111111116</v>
      </c>
      <c r="J612">
        <v>0</v>
      </c>
      <c r="K612">
        <v>0</v>
      </c>
      <c r="L612">
        <v>200</v>
      </c>
      <c r="M612">
        <v>0</v>
      </c>
      <c r="N612">
        <v>0</v>
      </c>
      <c r="O612">
        <v>80</v>
      </c>
      <c r="P612" t="s">
        <v>190</v>
      </c>
      <c r="S612">
        <v>11.683333333333332</v>
      </c>
      <c r="T612">
        <v>200</v>
      </c>
      <c r="U612">
        <v>480</v>
      </c>
    </row>
    <row r="613" spans="1:21">
      <c r="A613">
        <v>44849</v>
      </c>
      <c r="B613" t="s">
        <v>68</v>
      </c>
      <c r="C613" t="s">
        <v>69</v>
      </c>
      <c r="D613" t="s">
        <v>163</v>
      </c>
      <c r="E613" t="s">
        <v>167</v>
      </c>
      <c r="F613" t="s">
        <v>1461</v>
      </c>
      <c r="G613">
        <v>0.34166666666666667</v>
      </c>
      <c r="H613" t="s">
        <v>1460</v>
      </c>
      <c r="I613">
        <v>0.83472222222222225</v>
      </c>
      <c r="J613">
        <v>0</v>
      </c>
      <c r="K613">
        <v>0</v>
      </c>
      <c r="L613">
        <v>200</v>
      </c>
      <c r="M613">
        <v>0</v>
      </c>
      <c r="N613">
        <v>0</v>
      </c>
      <c r="O613">
        <v>0</v>
      </c>
      <c r="P613" t="s">
        <v>190</v>
      </c>
      <c r="S613">
        <v>11.833333333333332</v>
      </c>
      <c r="T613">
        <v>200</v>
      </c>
      <c r="U613">
        <v>400</v>
      </c>
    </row>
    <row r="614" spans="1:21">
      <c r="A614">
        <v>44835</v>
      </c>
      <c r="B614" t="s">
        <v>70</v>
      </c>
      <c r="C614" t="s">
        <v>71</v>
      </c>
      <c r="D614" t="s">
        <v>163</v>
      </c>
      <c r="E614" t="s">
        <v>168</v>
      </c>
      <c r="F614" t="s">
        <v>1462</v>
      </c>
      <c r="G614">
        <v>0.25972222222222224</v>
      </c>
      <c r="H614" t="s">
        <v>1463</v>
      </c>
      <c r="I614">
        <v>0.73333333333333328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 t="s">
        <v>232</v>
      </c>
      <c r="S614">
        <v>11.366666666666667</v>
      </c>
      <c r="T614">
        <v>250</v>
      </c>
      <c r="U614">
        <v>250</v>
      </c>
    </row>
    <row r="615" spans="1:21">
      <c r="A615">
        <v>44837</v>
      </c>
      <c r="B615" t="s">
        <v>70</v>
      </c>
      <c r="C615" t="s">
        <v>71</v>
      </c>
      <c r="D615" t="s">
        <v>163</v>
      </c>
      <c r="E615" t="s">
        <v>168</v>
      </c>
      <c r="F615" t="s">
        <v>1463</v>
      </c>
      <c r="G615">
        <v>0.25347222222222221</v>
      </c>
      <c r="H615" t="s">
        <v>1463</v>
      </c>
      <c r="I615">
        <v>0.73958333333333337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 t="s">
        <v>232</v>
      </c>
      <c r="S615">
        <v>11.666666666666664</v>
      </c>
      <c r="T615">
        <v>250</v>
      </c>
      <c r="U615">
        <v>250</v>
      </c>
    </row>
    <row r="616" spans="1:21">
      <c r="A616">
        <v>44838</v>
      </c>
      <c r="B616" t="s">
        <v>70</v>
      </c>
      <c r="C616" t="s">
        <v>71</v>
      </c>
      <c r="D616" t="s">
        <v>163</v>
      </c>
      <c r="E616" t="s">
        <v>168</v>
      </c>
      <c r="F616" t="s">
        <v>1464</v>
      </c>
      <c r="G616">
        <v>0.31180555555555556</v>
      </c>
      <c r="H616" t="s">
        <v>1465</v>
      </c>
      <c r="I616">
        <v>0.75972222222222219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 t="s">
        <v>232</v>
      </c>
      <c r="S616">
        <v>10.75</v>
      </c>
      <c r="T616">
        <v>250</v>
      </c>
      <c r="U616">
        <v>250</v>
      </c>
    </row>
    <row r="617" spans="1:21">
      <c r="A617">
        <v>44840</v>
      </c>
      <c r="B617" t="s">
        <v>70</v>
      </c>
      <c r="C617" t="s">
        <v>71</v>
      </c>
      <c r="D617" t="s">
        <v>163</v>
      </c>
      <c r="E617" t="s">
        <v>168</v>
      </c>
      <c r="F617" t="s">
        <v>1466</v>
      </c>
      <c r="G617">
        <v>0.26944444444444443</v>
      </c>
      <c r="H617" t="s">
        <v>1466</v>
      </c>
      <c r="I617">
        <v>0.7631944444444444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 t="s">
        <v>232</v>
      </c>
      <c r="S617">
        <v>11.85</v>
      </c>
      <c r="T617">
        <v>250</v>
      </c>
      <c r="U617">
        <v>250</v>
      </c>
    </row>
    <row r="618" spans="1:21">
      <c r="A618">
        <v>44841</v>
      </c>
      <c r="B618" t="s">
        <v>70</v>
      </c>
      <c r="C618" t="s">
        <v>71</v>
      </c>
      <c r="D618" t="s">
        <v>163</v>
      </c>
      <c r="E618" t="s">
        <v>168</v>
      </c>
      <c r="F618" t="s">
        <v>1467</v>
      </c>
      <c r="G618">
        <v>0.2326388888888889</v>
      </c>
      <c r="H618" t="s">
        <v>1468</v>
      </c>
      <c r="I618">
        <v>0.74652777777777779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 t="s">
        <v>232</v>
      </c>
      <c r="S618">
        <v>12.333333333333336</v>
      </c>
      <c r="T618">
        <v>250</v>
      </c>
      <c r="U618">
        <v>250</v>
      </c>
    </row>
    <row r="619" spans="1:21">
      <c r="A619">
        <v>44842</v>
      </c>
      <c r="B619" t="s">
        <v>70</v>
      </c>
      <c r="C619" t="s">
        <v>71</v>
      </c>
      <c r="D619" t="s">
        <v>163</v>
      </c>
      <c r="E619" t="s">
        <v>168</v>
      </c>
      <c r="F619" t="s">
        <v>1463</v>
      </c>
      <c r="G619">
        <v>0.29652777777777778</v>
      </c>
      <c r="H619" t="s">
        <v>1469</v>
      </c>
      <c r="I619">
        <v>0.72777777777777775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 t="s">
        <v>232</v>
      </c>
      <c r="S619">
        <v>10.35</v>
      </c>
      <c r="T619">
        <v>250</v>
      </c>
      <c r="U619">
        <v>250</v>
      </c>
    </row>
    <row r="620" spans="1:21">
      <c r="A620">
        <v>44844</v>
      </c>
      <c r="B620" t="s">
        <v>70</v>
      </c>
      <c r="C620" t="s">
        <v>71</v>
      </c>
      <c r="D620" t="s">
        <v>163</v>
      </c>
      <c r="E620" t="s">
        <v>168</v>
      </c>
      <c r="F620" t="s">
        <v>1469</v>
      </c>
      <c r="G620">
        <v>0.2722222222222222</v>
      </c>
      <c r="H620" t="s">
        <v>1469</v>
      </c>
      <c r="I620">
        <v>0.79027777777777775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 t="s">
        <v>232</v>
      </c>
      <c r="S620">
        <v>12.433333333333332</v>
      </c>
      <c r="T620">
        <v>250</v>
      </c>
      <c r="U620">
        <v>250</v>
      </c>
    </row>
    <row r="621" spans="1:21">
      <c r="A621">
        <v>44845</v>
      </c>
      <c r="B621" t="s">
        <v>70</v>
      </c>
      <c r="C621" t="s">
        <v>71</v>
      </c>
      <c r="D621" t="s">
        <v>163</v>
      </c>
      <c r="E621" t="s">
        <v>168</v>
      </c>
      <c r="F621" t="s">
        <v>1469</v>
      </c>
      <c r="G621">
        <v>0.31527777777777777</v>
      </c>
      <c r="H621" t="s">
        <v>1469</v>
      </c>
      <c r="I621">
        <v>0.81805555555555554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 t="s">
        <v>232</v>
      </c>
      <c r="S621">
        <v>12.066666666666666</v>
      </c>
      <c r="T621">
        <v>250</v>
      </c>
      <c r="U621">
        <v>250</v>
      </c>
    </row>
    <row r="622" spans="1:21">
      <c r="A622">
        <v>44846</v>
      </c>
      <c r="B622" t="s">
        <v>70</v>
      </c>
      <c r="C622" t="s">
        <v>71</v>
      </c>
      <c r="D622" t="s">
        <v>163</v>
      </c>
      <c r="E622" t="s">
        <v>168</v>
      </c>
      <c r="F622" t="s">
        <v>1469</v>
      </c>
      <c r="G622">
        <v>0.30972222222222223</v>
      </c>
      <c r="H622" t="s">
        <v>1469</v>
      </c>
      <c r="I622">
        <v>0.7680555555555556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 t="s">
        <v>232</v>
      </c>
      <c r="S622">
        <v>10.999999999999998</v>
      </c>
      <c r="T622">
        <v>250</v>
      </c>
      <c r="U622">
        <v>250</v>
      </c>
    </row>
    <row r="623" spans="1:21">
      <c r="A623">
        <v>44847</v>
      </c>
      <c r="B623" t="s">
        <v>70</v>
      </c>
      <c r="C623" t="s">
        <v>71</v>
      </c>
      <c r="D623" t="s">
        <v>163</v>
      </c>
      <c r="E623" t="s">
        <v>168</v>
      </c>
      <c r="F623" t="s">
        <v>1469</v>
      </c>
      <c r="G623">
        <v>0.32569444444444445</v>
      </c>
      <c r="H623" t="s">
        <v>1469</v>
      </c>
      <c r="I623">
        <v>0.27430555555555558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 t="s">
        <v>232</v>
      </c>
      <c r="S623">
        <v>22.766666666666666</v>
      </c>
      <c r="T623">
        <v>250</v>
      </c>
      <c r="U623">
        <v>250</v>
      </c>
    </row>
    <row r="624" spans="1:21">
      <c r="A624">
        <v>44848</v>
      </c>
      <c r="B624" t="s">
        <v>70</v>
      </c>
      <c r="C624" t="s">
        <v>71</v>
      </c>
      <c r="D624" t="s">
        <v>163</v>
      </c>
      <c r="E624" t="s">
        <v>168</v>
      </c>
      <c r="F624" t="s">
        <v>1469</v>
      </c>
      <c r="G624">
        <v>0.27361111111111114</v>
      </c>
      <c r="H624" t="s">
        <v>1469</v>
      </c>
      <c r="I624">
        <v>0.76527777777777772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 t="s">
        <v>232</v>
      </c>
      <c r="S624">
        <v>11.799999999999999</v>
      </c>
      <c r="T624">
        <v>250</v>
      </c>
      <c r="U624">
        <v>250</v>
      </c>
    </row>
    <row r="625" spans="1:21">
      <c r="A625">
        <v>44849</v>
      </c>
      <c r="B625" t="s">
        <v>70</v>
      </c>
      <c r="C625" t="s">
        <v>71</v>
      </c>
      <c r="D625" t="s">
        <v>163</v>
      </c>
      <c r="E625" t="s">
        <v>168</v>
      </c>
      <c r="F625" t="s">
        <v>1470</v>
      </c>
      <c r="G625">
        <v>0.15486111111111112</v>
      </c>
      <c r="H625" t="s">
        <v>1469</v>
      </c>
      <c r="I625">
        <v>0.84722222222222221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 t="s">
        <v>232</v>
      </c>
      <c r="S625">
        <v>16.616666666666667</v>
      </c>
      <c r="T625">
        <v>250</v>
      </c>
      <c r="U625">
        <v>250</v>
      </c>
    </row>
    <row r="626" spans="1:21">
      <c r="A626">
        <v>44835</v>
      </c>
      <c r="B626" t="s">
        <v>82</v>
      </c>
      <c r="C626" t="s">
        <v>83</v>
      </c>
      <c r="D626" t="s">
        <v>163</v>
      </c>
      <c r="E626" t="s">
        <v>171</v>
      </c>
      <c r="F626" t="s">
        <v>1471</v>
      </c>
      <c r="G626">
        <v>0.34236111111111112</v>
      </c>
      <c r="H626" t="s">
        <v>1471</v>
      </c>
      <c r="I626">
        <v>0.83750000000000002</v>
      </c>
      <c r="J626">
        <v>0</v>
      </c>
      <c r="K626">
        <v>0</v>
      </c>
      <c r="L626">
        <v>150</v>
      </c>
      <c r="M626">
        <v>0</v>
      </c>
      <c r="N626">
        <v>0</v>
      </c>
      <c r="O626">
        <v>0</v>
      </c>
      <c r="P626" t="s">
        <v>233</v>
      </c>
      <c r="S626">
        <v>11.883333333333331</v>
      </c>
      <c r="T626">
        <v>125</v>
      </c>
      <c r="U626">
        <v>275</v>
      </c>
    </row>
    <row r="627" spans="1:21">
      <c r="A627">
        <v>44837</v>
      </c>
      <c r="B627" t="s">
        <v>82</v>
      </c>
      <c r="C627" t="s">
        <v>83</v>
      </c>
      <c r="D627" t="s">
        <v>163</v>
      </c>
      <c r="E627" t="s">
        <v>171</v>
      </c>
      <c r="F627" t="s">
        <v>1471</v>
      </c>
      <c r="G627">
        <v>0.27569444444444446</v>
      </c>
      <c r="H627" t="s">
        <v>1471</v>
      </c>
      <c r="I627">
        <v>0.33055555555555555</v>
      </c>
      <c r="J627">
        <v>0</v>
      </c>
      <c r="K627">
        <v>0</v>
      </c>
      <c r="L627">
        <v>150</v>
      </c>
      <c r="M627">
        <v>0</v>
      </c>
      <c r="N627">
        <v>0</v>
      </c>
      <c r="O627">
        <v>0</v>
      </c>
      <c r="P627" t="s">
        <v>233</v>
      </c>
      <c r="S627">
        <v>1.3166666666666673</v>
      </c>
      <c r="T627">
        <v>0</v>
      </c>
      <c r="U627">
        <v>150</v>
      </c>
    </row>
    <row r="628" spans="1:21">
      <c r="A628">
        <v>44838</v>
      </c>
      <c r="B628" t="s">
        <v>82</v>
      </c>
      <c r="C628" t="s">
        <v>83</v>
      </c>
      <c r="D628" t="s">
        <v>163</v>
      </c>
      <c r="E628" t="s">
        <v>171</v>
      </c>
      <c r="F628" t="s">
        <v>1471</v>
      </c>
      <c r="G628">
        <v>0.33055555555555555</v>
      </c>
      <c r="H628" t="s">
        <v>1472</v>
      </c>
      <c r="I628">
        <v>0.31944444444444442</v>
      </c>
      <c r="J628">
        <v>0</v>
      </c>
      <c r="K628">
        <v>0</v>
      </c>
      <c r="L628">
        <v>150</v>
      </c>
      <c r="M628">
        <v>0</v>
      </c>
      <c r="N628">
        <v>0</v>
      </c>
      <c r="O628">
        <v>0</v>
      </c>
      <c r="P628" t="s">
        <v>233</v>
      </c>
      <c r="S628">
        <v>23.733333333333334</v>
      </c>
      <c r="T628">
        <v>125</v>
      </c>
      <c r="U628">
        <v>275</v>
      </c>
    </row>
    <row r="629" spans="1:21">
      <c r="A629">
        <v>44839</v>
      </c>
      <c r="B629" t="s">
        <v>82</v>
      </c>
      <c r="C629" t="s">
        <v>83</v>
      </c>
      <c r="D629" t="s">
        <v>163</v>
      </c>
      <c r="E629" t="s">
        <v>171</v>
      </c>
      <c r="F629" t="s">
        <v>1472</v>
      </c>
      <c r="G629">
        <v>0.31944444444444442</v>
      </c>
      <c r="H629" t="s">
        <v>1471</v>
      </c>
      <c r="I629">
        <v>0.33124999999999999</v>
      </c>
      <c r="J629">
        <v>200</v>
      </c>
      <c r="K629">
        <v>0</v>
      </c>
      <c r="L629">
        <v>150</v>
      </c>
      <c r="M629">
        <v>0</v>
      </c>
      <c r="N629">
        <v>0</v>
      </c>
      <c r="O629">
        <v>0</v>
      </c>
      <c r="P629" t="s">
        <v>233</v>
      </c>
      <c r="S629">
        <v>0.28333333333333366</v>
      </c>
      <c r="T629">
        <v>0</v>
      </c>
      <c r="U629">
        <v>350</v>
      </c>
    </row>
    <row r="630" spans="1:21">
      <c r="A630">
        <v>44840</v>
      </c>
      <c r="B630" t="s">
        <v>82</v>
      </c>
      <c r="C630" t="s">
        <v>83</v>
      </c>
      <c r="D630" t="s">
        <v>163</v>
      </c>
      <c r="E630" t="s">
        <v>171</v>
      </c>
      <c r="F630" t="s">
        <v>1471</v>
      </c>
      <c r="G630">
        <v>0.33124999999999999</v>
      </c>
      <c r="H630" t="s">
        <v>1471</v>
      </c>
      <c r="I630">
        <v>0.40625</v>
      </c>
      <c r="J630">
        <v>0</v>
      </c>
      <c r="K630">
        <v>0</v>
      </c>
      <c r="L630">
        <v>150</v>
      </c>
      <c r="M630">
        <v>0</v>
      </c>
      <c r="N630">
        <v>0</v>
      </c>
      <c r="O630">
        <v>0</v>
      </c>
      <c r="P630" t="s">
        <v>233</v>
      </c>
      <c r="S630">
        <v>1.8000000000000003</v>
      </c>
      <c r="T630">
        <v>0</v>
      </c>
      <c r="U630">
        <v>150</v>
      </c>
    </row>
    <row r="631" spans="1:21">
      <c r="A631">
        <v>44841</v>
      </c>
      <c r="B631" t="s">
        <v>82</v>
      </c>
      <c r="C631" t="s">
        <v>83</v>
      </c>
      <c r="D631" t="s">
        <v>163</v>
      </c>
      <c r="E631" t="s">
        <v>171</v>
      </c>
      <c r="F631" t="s">
        <v>1471</v>
      </c>
      <c r="G631">
        <v>0.40625</v>
      </c>
      <c r="H631" t="s">
        <v>1471</v>
      </c>
      <c r="I631">
        <v>0.31458333333333333</v>
      </c>
      <c r="J631">
        <v>200</v>
      </c>
      <c r="K631">
        <v>0</v>
      </c>
      <c r="L631">
        <v>150</v>
      </c>
      <c r="M631">
        <v>0</v>
      </c>
      <c r="N631">
        <v>0</v>
      </c>
      <c r="O631">
        <v>0</v>
      </c>
      <c r="P631" t="s">
        <v>233</v>
      </c>
      <c r="S631">
        <v>21.8</v>
      </c>
      <c r="T631">
        <v>125</v>
      </c>
      <c r="U631">
        <v>475</v>
      </c>
    </row>
    <row r="632" spans="1:21">
      <c r="A632">
        <v>44842</v>
      </c>
      <c r="B632" t="s">
        <v>82</v>
      </c>
      <c r="C632" t="s">
        <v>83</v>
      </c>
      <c r="D632" t="s">
        <v>163</v>
      </c>
      <c r="E632" t="s">
        <v>171</v>
      </c>
      <c r="F632" t="s">
        <v>1471</v>
      </c>
      <c r="G632">
        <v>0.31458333333333333</v>
      </c>
      <c r="H632" t="s">
        <v>1471</v>
      </c>
      <c r="I632">
        <v>0.30555555555555558</v>
      </c>
      <c r="J632">
        <v>200</v>
      </c>
      <c r="K632">
        <v>0</v>
      </c>
      <c r="L632">
        <v>150</v>
      </c>
      <c r="M632">
        <v>0</v>
      </c>
      <c r="N632">
        <v>0</v>
      </c>
      <c r="O632">
        <v>0</v>
      </c>
      <c r="P632" t="s">
        <v>233</v>
      </c>
      <c r="S632">
        <v>23.783333333333331</v>
      </c>
      <c r="T632">
        <v>125</v>
      </c>
      <c r="U632">
        <v>475</v>
      </c>
    </row>
    <row r="633" spans="1:21">
      <c r="A633">
        <v>44844</v>
      </c>
      <c r="B633" t="s">
        <v>82</v>
      </c>
      <c r="C633" t="s">
        <v>83</v>
      </c>
      <c r="D633" t="s">
        <v>163</v>
      </c>
      <c r="E633" t="s">
        <v>171</v>
      </c>
      <c r="F633" t="s">
        <v>1471</v>
      </c>
      <c r="G633">
        <v>0.30555555555555558</v>
      </c>
      <c r="H633" t="s">
        <v>1471</v>
      </c>
      <c r="I633">
        <v>0.48888888888888887</v>
      </c>
      <c r="J633">
        <v>0</v>
      </c>
      <c r="K633">
        <v>0</v>
      </c>
      <c r="L633">
        <v>150</v>
      </c>
      <c r="M633">
        <v>0</v>
      </c>
      <c r="N633">
        <v>0</v>
      </c>
      <c r="O633">
        <v>0</v>
      </c>
      <c r="P633" t="s">
        <v>233</v>
      </c>
      <c r="S633">
        <v>4.4000000000000004</v>
      </c>
      <c r="T633">
        <v>62.5</v>
      </c>
      <c r="U633">
        <v>212.5</v>
      </c>
    </row>
    <row r="634" spans="1:21">
      <c r="A634">
        <v>44845</v>
      </c>
      <c r="B634" t="s">
        <v>82</v>
      </c>
      <c r="C634" t="s">
        <v>83</v>
      </c>
      <c r="D634" t="s">
        <v>163</v>
      </c>
      <c r="E634" t="s">
        <v>171</v>
      </c>
      <c r="F634" t="s">
        <v>1471</v>
      </c>
      <c r="G634">
        <v>0.48888888888888887</v>
      </c>
      <c r="H634" t="s">
        <v>1471</v>
      </c>
      <c r="I634">
        <v>0.31180555555555556</v>
      </c>
      <c r="J634">
        <v>200</v>
      </c>
      <c r="K634">
        <v>0</v>
      </c>
      <c r="L634">
        <v>150</v>
      </c>
      <c r="M634">
        <v>0</v>
      </c>
      <c r="N634">
        <v>0</v>
      </c>
      <c r="O634">
        <v>0</v>
      </c>
      <c r="P634" t="s">
        <v>233</v>
      </c>
      <c r="S634">
        <v>19.75</v>
      </c>
      <c r="T634">
        <v>125</v>
      </c>
      <c r="U634">
        <v>475</v>
      </c>
    </row>
    <row r="635" spans="1:21">
      <c r="A635">
        <v>44846</v>
      </c>
      <c r="B635" t="s">
        <v>82</v>
      </c>
      <c r="C635" t="s">
        <v>83</v>
      </c>
      <c r="D635" t="s">
        <v>163</v>
      </c>
      <c r="E635" t="s">
        <v>171</v>
      </c>
      <c r="F635" t="s">
        <v>1471</v>
      </c>
      <c r="G635">
        <v>0.31180555555555556</v>
      </c>
      <c r="H635" t="s">
        <v>1471</v>
      </c>
      <c r="I635">
        <v>0.82013888888888886</v>
      </c>
      <c r="J635">
        <v>0</v>
      </c>
      <c r="K635">
        <v>0</v>
      </c>
      <c r="L635">
        <v>150</v>
      </c>
      <c r="M635">
        <v>0</v>
      </c>
      <c r="N635">
        <v>0</v>
      </c>
      <c r="O635">
        <v>0</v>
      </c>
      <c r="P635" t="s">
        <v>233</v>
      </c>
      <c r="S635">
        <v>12.2</v>
      </c>
      <c r="T635">
        <v>125</v>
      </c>
      <c r="U635">
        <v>275</v>
      </c>
    </row>
    <row r="636" spans="1:21">
      <c r="A636">
        <v>44847</v>
      </c>
      <c r="B636" t="s">
        <v>82</v>
      </c>
      <c r="C636" t="s">
        <v>83</v>
      </c>
      <c r="D636" t="s">
        <v>163</v>
      </c>
      <c r="E636" t="s">
        <v>171</v>
      </c>
      <c r="F636" t="s">
        <v>1473</v>
      </c>
      <c r="G636">
        <v>0.42083333333333334</v>
      </c>
      <c r="H636" t="s">
        <v>1471</v>
      </c>
      <c r="I636">
        <v>0.84097222222222223</v>
      </c>
      <c r="J636">
        <v>0</v>
      </c>
      <c r="K636">
        <v>0</v>
      </c>
      <c r="L636">
        <v>150</v>
      </c>
      <c r="M636">
        <v>0</v>
      </c>
      <c r="N636">
        <v>0</v>
      </c>
      <c r="O636">
        <v>0</v>
      </c>
      <c r="P636" t="s">
        <v>233</v>
      </c>
      <c r="S636">
        <v>10.083333333333334</v>
      </c>
      <c r="T636">
        <v>125</v>
      </c>
      <c r="U636">
        <v>275</v>
      </c>
    </row>
    <row r="637" spans="1:21">
      <c r="A637">
        <v>44848</v>
      </c>
      <c r="B637" t="s">
        <v>82</v>
      </c>
      <c r="C637" t="s">
        <v>83</v>
      </c>
      <c r="D637" t="s">
        <v>163</v>
      </c>
      <c r="E637" t="s">
        <v>171</v>
      </c>
      <c r="F637" t="s">
        <v>1474</v>
      </c>
      <c r="G637">
        <v>0.30416666666666664</v>
      </c>
      <c r="H637" t="s">
        <v>1475</v>
      </c>
      <c r="I637">
        <v>0.32291666666666669</v>
      </c>
      <c r="J637">
        <v>400</v>
      </c>
      <c r="K637">
        <v>0</v>
      </c>
      <c r="L637">
        <v>150</v>
      </c>
      <c r="M637">
        <v>0</v>
      </c>
      <c r="N637">
        <v>0</v>
      </c>
      <c r="O637">
        <v>0</v>
      </c>
      <c r="P637" t="s">
        <v>233</v>
      </c>
      <c r="S637">
        <v>0.44999999999999973</v>
      </c>
      <c r="T637">
        <v>0</v>
      </c>
      <c r="U637">
        <v>550</v>
      </c>
    </row>
    <row r="638" spans="1:21">
      <c r="A638">
        <v>44849</v>
      </c>
      <c r="B638" t="s">
        <v>82</v>
      </c>
      <c r="C638" t="s">
        <v>83</v>
      </c>
      <c r="D638" t="s">
        <v>163</v>
      </c>
      <c r="E638" t="s">
        <v>171</v>
      </c>
      <c r="F638" t="s">
        <v>1475</v>
      </c>
      <c r="G638">
        <v>0.32291666666666669</v>
      </c>
      <c r="H638" t="s">
        <v>1471</v>
      </c>
      <c r="I638">
        <v>0.32013888888888886</v>
      </c>
      <c r="J638">
        <v>0</v>
      </c>
      <c r="K638">
        <v>0</v>
      </c>
      <c r="L638">
        <v>150</v>
      </c>
      <c r="M638">
        <v>0</v>
      </c>
      <c r="N638">
        <v>0</v>
      </c>
      <c r="O638">
        <v>0</v>
      </c>
      <c r="P638" t="s">
        <v>233</v>
      </c>
      <c r="S638">
        <v>23.933333333333334</v>
      </c>
      <c r="T638">
        <v>125</v>
      </c>
      <c r="U638">
        <v>275</v>
      </c>
    </row>
    <row r="639" spans="1:21">
      <c r="A639">
        <v>44835</v>
      </c>
      <c r="B639" t="s">
        <v>837</v>
      </c>
      <c r="C639" t="s">
        <v>838</v>
      </c>
      <c r="D639" t="s">
        <v>227</v>
      </c>
      <c r="E639" t="s">
        <v>194</v>
      </c>
      <c r="F639" t="s">
        <v>1476</v>
      </c>
      <c r="G639">
        <v>0.28958333333333336</v>
      </c>
      <c r="H639" t="s">
        <v>1476</v>
      </c>
      <c r="I639">
        <v>0.94722222222222219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 t="s">
        <v>1477</v>
      </c>
      <c r="S639">
        <v>15.783333333333333</v>
      </c>
      <c r="T639">
        <v>300</v>
      </c>
      <c r="U639">
        <v>300</v>
      </c>
    </row>
    <row r="640" spans="1:21">
      <c r="A640">
        <v>44837</v>
      </c>
      <c r="B640" t="s">
        <v>837</v>
      </c>
      <c r="C640" t="s">
        <v>838</v>
      </c>
      <c r="D640" t="s">
        <v>227</v>
      </c>
      <c r="E640" t="s">
        <v>194</v>
      </c>
      <c r="F640" t="s">
        <v>1476</v>
      </c>
      <c r="G640">
        <v>0.32569444444444445</v>
      </c>
      <c r="H640" t="s">
        <v>1478</v>
      </c>
      <c r="I640">
        <v>0.80347222222222225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 t="s">
        <v>1477</v>
      </c>
      <c r="S640">
        <v>11.466666666666665</v>
      </c>
      <c r="T640">
        <v>300</v>
      </c>
      <c r="U640">
        <v>300</v>
      </c>
    </row>
    <row r="641" spans="1:21">
      <c r="A641">
        <v>44838</v>
      </c>
      <c r="B641" t="s">
        <v>837</v>
      </c>
      <c r="C641" t="s">
        <v>838</v>
      </c>
      <c r="D641" t="s">
        <v>227</v>
      </c>
      <c r="E641" t="s">
        <v>194</v>
      </c>
      <c r="F641" t="s">
        <v>1476</v>
      </c>
      <c r="G641">
        <v>0.25416666666666665</v>
      </c>
      <c r="H641" t="s">
        <v>1476</v>
      </c>
      <c r="I641">
        <v>0.83750000000000002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 t="s">
        <v>1477</v>
      </c>
      <c r="S641">
        <v>13.999999999999998</v>
      </c>
      <c r="T641">
        <v>300</v>
      </c>
      <c r="U641">
        <v>300</v>
      </c>
    </row>
    <row r="642" spans="1:21">
      <c r="A642">
        <v>44840</v>
      </c>
      <c r="B642" t="s">
        <v>837</v>
      </c>
      <c r="C642" t="s">
        <v>838</v>
      </c>
      <c r="D642" t="s">
        <v>227</v>
      </c>
      <c r="E642" t="s">
        <v>194</v>
      </c>
      <c r="F642" t="s">
        <v>1476</v>
      </c>
      <c r="G642">
        <v>0.35208333333333336</v>
      </c>
      <c r="H642" t="s">
        <v>1476</v>
      </c>
      <c r="I642">
        <v>0.92569444444444449</v>
      </c>
      <c r="J642">
        <v>0</v>
      </c>
      <c r="K642">
        <v>0</v>
      </c>
      <c r="L642">
        <v>0</v>
      </c>
      <c r="M642">
        <v>300</v>
      </c>
      <c r="N642">
        <v>0</v>
      </c>
      <c r="O642">
        <v>0</v>
      </c>
      <c r="P642" t="s">
        <v>1477</v>
      </c>
      <c r="S642">
        <v>13.766666666666666</v>
      </c>
      <c r="T642">
        <v>300</v>
      </c>
      <c r="U642">
        <v>300</v>
      </c>
    </row>
    <row r="643" spans="1:21">
      <c r="A643">
        <v>44841</v>
      </c>
      <c r="B643" t="s">
        <v>837</v>
      </c>
      <c r="C643" t="s">
        <v>838</v>
      </c>
      <c r="D643" t="s">
        <v>227</v>
      </c>
      <c r="E643" t="s">
        <v>194</v>
      </c>
      <c r="F643" t="s">
        <v>1476</v>
      </c>
      <c r="G643">
        <v>0.27916666666666667</v>
      </c>
      <c r="H643" t="s">
        <v>1476</v>
      </c>
      <c r="I643">
        <v>0.94097222222222221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 t="s">
        <v>1477</v>
      </c>
      <c r="S643">
        <v>15.883333333333333</v>
      </c>
      <c r="T643">
        <v>300</v>
      </c>
      <c r="U643">
        <v>300</v>
      </c>
    </row>
    <row r="644" spans="1:21">
      <c r="A644">
        <v>44842</v>
      </c>
      <c r="B644" t="s">
        <v>837</v>
      </c>
      <c r="C644" t="s">
        <v>838</v>
      </c>
      <c r="D644" t="s">
        <v>227</v>
      </c>
      <c r="E644" t="s">
        <v>194</v>
      </c>
      <c r="F644" t="s">
        <v>1476</v>
      </c>
      <c r="G644">
        <v>0.25416666666666665</v>
      </c>
      <c r="H644" t="s">
        <v>1476</v>
      </c>
      <c r="I644">
        <v>0.94722222222222219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 t="s">
        <v>1477</v>
      </c>
      <c r="S644">
        <v>16.633333333333333</v>
      </c>
      <c r="T644">
        <v>300</v>
      </c>
      <c r="U644">
        <v>300</v>
      </c>
    </row>
    <row r="645" spans="1:21">
      <c r="A645">
        <v>44843</v>
      </c>
      <c r="B645" t="s">
        <v>837</v>
      </c>
      <c r="C645" t="s">
        <v>838</v>
      </c>
      <c r="D645" t="s">
        <v>227</v>
      </c>
      <c r="E645" t="s">
        <v>194</v>
      </c>
      <c r="F645" t="s">
        <v>1479</v>
      </c>
      <c r="G645">
        <v>0.46666666666666667</v>
      </c>
      <c r="H645" t="s">
        <v>1480</v>
      </c>
      <c r="I645">
        <v>0.3298611111111111</v>
      </c>
      <c r="J645">
        <v>3000</v>
      </c>
      <c r="K645">
        <v>0</v>
      </c>
      <c r="L645">
        <v>0</v>
      </c>
      <c r="M645">
        <v>0</v>
      </c>
      <c r="N645">
        <v>0</v>
      </c>
      <c r="O645">
        <v>0</v>
      </c>
      <c r="P645" t="s">
        <v>1477</v>
      </c>
      <c r="S645">
        <v>20.716666666666665</v>
      </c>
      <c r="T645">
        <v>300</v>
      </c>
      <c r="U645">
        <v>3300</v>
      </c>
    </row>
    <row r="646" spans="1:21">
      <c r="A646">
        <v>44844</v>
      </c>
      <c r="B646" t="s">
        <v>837</v>
      </c>
      <c r="C646" t="s">
        <v>838</v>
      </c>
      <c r="D646" t="s">
        <v>227</v>
      </c>
      <c r="E646" t="s">
        <v>194</v>
      </c>
      <c r="F646" t="s">
        <v>1480</v>
      </c>
      <c r="G646">
        <v>0.3298611111111111</v>
      </c>
      <c r="H646" t="s">
        <v>1476</v>
      </c>
      <c r="I646">
        <v>0.92569444444444449</v>
      </c>
      <c r="J646">
        <v>3062</v>
      </c>
      <c r="K646">
        <v>0</v>
      </c>
      <c r="L646">
        <v>0</v>
      </c>
      <c r="M646">
        <v>300</v>
      </c>
      <c r="N646">
        <v>0</v>
      </c>
      <c r="O646">
        <v>0</v>
      </c>
      <c r="P646" t="s">
        <v>1477</v>
      </c>
      <c r="S646">
        <v>14.299999999999997</v>
      </c>
      <c r="T646">
        <v>300</v>
      </c>
      <c r="U646">
        <v>3362</v>
      </c>
    </row>
    <row r="647" spans="1:21">
      <c r="A647">
        <v>44845</v>
      </c>
      <c r="B647" t="s">
        <v>837</v>
      </c>
      <c r="C647" t="s">
        <v>838</v>
      </c>
      <c r="D647" t="s">
        <v>227</v>
      </c>
      <c r="E647" t="s">
        <v>194</v>
      </c>
      <c r="F647" t="s">
        <v>1476</v>
      </c>
      <c r="G647">
        <v>0.4152777777777778</v>
      </c>
      <c r="H647" t="s">
        <v>1476</v>
      </c>
      <c r="I647">
        <v>0.89930555555555558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 t="s">
        <v>1477</v>
      </c>
      <c r="S647">
        <v>11.616666666666665</v>
      </c>
      <c r="T647">
        <v>300</v>
      </c>
      <c r="U647">
        <v>300</v>
      </c>
    </row>
    <row r="648" spans="1:21">
      <c r="A648">
        <v>44846</v>
      </c>
      <c r="B648" t="s">
        <v>837</v>
      </c>
      <c r="C648" t="s">
        <v>838</v>
      </c>
      <c r="D648" t="s">
        <v>227</v>
      </c>
      <c r="E648" t="s">
        <v>194</v>
      </c>
      <c r="F648" t="s">
        <v>1476</v>
      </c>
      <c r="G648">
        <v>0.4826388888888889</v>
      </c>
      <c r="H648" t="s">
        <v>1476</v>
      </c>
      <c r="I648">
        <v>0.9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 t="s">
        <v>1477</v>
      </c>
      <c r="S648">
        <v>10.016666666666664</v>
      </c>
      <c r="T648">
        <v>300</v>
      </c>
      <c r="U648">
        <v>300</v>
      </c>
    </row>
    <row r="649" spans="1:21">
      <c r="A649">
        <v>44847</v>
      </c>
      <c r="B649" t="s">
        <v>837</v>
      </c>
      <c r="C649" t="s">
        <v>838</v>
      </c>
      <c r="D649" t="s">
        <v>227</v>
      </c>
      <c r="E649" t="s">
        <v>194</v>
      </c>
      <c r="F649" t="s">
        <v>1476</v>
      </c>
      <c r="G649">
        <v>0.30138888888888887</v>
      </c>
      <c r="H649" t="s">
        <v>1481</v>
      </c>
      <c r="I649">
        <v>0.9868055555555556</v>
      </c>
      <c r="J649">
        <v>3000</v>
      </c>
      <c r="K649">
        <v>0</v>
      </c>
      <c r="L649">
        <v>0</v>
      </c>
      <c r="M649">
        <v>350</v>
      </c>
      <c r="N649">
        <v>0</v>
      </c>
      <c r="O649">
        <v>0</v>
      </c>
      <c r="P649" t="s">
        <v>1477</v>
      </c>
      <c r="S649">
        <v>16.449999999999996</v>
      </c>
      <c r="T649">
        <v>300</v>
      </c>
      <c r="U649">
        <v>3300</v>
      </c>
    </row>
    <row r="650" spans="1:21">
      <c r="A650">
        <v>44848</v>
      </c>
      <c r="B650" t="s">
        <v>837</v>
      </c>
      <c r="C650" t="s">
        <v>838</v>
      </c>
      <c r="D650" t="s">
        <v>227</v>
      </c>
      <c r="E650" t="s">
        <v>194</v>
      </c>
      <c r="F650" t="s">
        <v>1482</v>
      </c>
      <c r="G650">
        <v>0.27916666666666667</v>
      </c>
      <c r="H650" t="s">
        <v>1483</v>
      </c>
      <c r="I650">
        <v>0.40347222222222223</v>
      </c>
      <c r="J650">
        <v>0</v>
      </c>
      <c r="K650">
        <v>0</v>
      </c>
      <c r="L650">
        <v>0</v>
      </c>
      <c r="M650">
        <v>687</v>
      </c>
      <c r="N650">
        <v>0</v>
      </c>
      <c r="O650">
        <v>0</v>
      </c>
      <c r="P650" t="s">
        <v>1477</v>
      </c>
      <c r="S650">
        <v>2.9833333333333334</v>
      </c>
      <c r="T650">
        <v>0</v>
      </c>
      <c r="U650">
        <v>0</v>
      </c>
    </row>
    <row r="651" spans="1:21">
      <c r="A651">
        <v>44849</v>
      </c>
      <c r="B651" t="s">
        <v>837</v>
      </c>
      <c r="C651" t="s">
        <v>838</v>
      </c>
      <c r="D651" t="s">
        <v>227</v>
      </c>
      <c r="E651" t="s">
        <v>194</v>
      </c>
      <c r="F651" t="s">
        <v>1483</v>
      </c>
      <c r="G651">
        <v>0.40347222222222223</v>
      </c>
      <c r="H651" t="s">
        <v>1476</v>
      </c>
      <c r="I651">
        <v>0.93125000000000002</v>
      </c>
      <c r="J651">
        <v>2008</v>
      </c>
      <c r="K651">
        <v>4000</v>
      </c>
      <c r="L651">
        <v>0</v>
      </c>
      <c r="M651">
        <v>0</v>
      </c>
      <c r="N651">
        <v>0</v>
      </c>
      <c r="O651">
        <v>0</v>
      </c>
      <c r="P651" t="s">
        <v>1477</v>
      </c>
      <c r="S651">
        <v>12.666666666666664</v>
      </c>
      <c r="T651">
        <v>0</v>
      </c>
      <c r="U651">
        <v>6008</v>
      </c>
    </row>
    <row r="652" spans="1:21">
      <c r="A652">
        <v>44835</v>
      </c>
      <c r="B652" t="s">
        <v>244</v>
      </c>
      <c r="C652" t="s">
        <v>245</v>
      </c>
      <c r="D652" t="s">
        <v>163</v>
      </c>
      <c r="E652" t="s">
        <v>246</v>
      </c>
      <c r="F652" t="s">
        <v>247</v>
      </c>
      <c r="G652">
        <v>0.40347222222222223</v>
      </c>
      <c r="H652" t="s">
        <v>247</v>
      </c>
      <c r="I652">
        <v>0.70277777777777772</v>
      </c>
      <c r="J652">
        <v>60</v>
      </c>
      <c r="K652">
        <v>0</v>
      </c>
      <c r="L652">
        <v>0</v>
      </c>
      <c r="M652">
        <v>0</v>
      </c>
      <c r="N652">
        <v>0</v>
      </c>
      <c r="O652">
        <v>0</v>
      </c>
      <c r="P652" t="s">
        <v>248</v>
      </c>
      <c r="S652">
        <v>7.1833333333333318</v>
      </c>
      <c r="T652">
        <v>175</v>
      </c>
      <c r="U652">
        <v>235</v>
      </c>
    </row>
    <row r="653" spans="1:21">
      <c r="A653">
        <v>44837</v>
      </c>
      <c r="B653" t="s">
        <v>244</v>
      </c>
      <c r="C653" t="s">
        <v>245</v>
      </c>
      <c r="D653" t="s">
        <v>163</v>
      </c>
      <c r="E653" t="s">
        <v>246</v>
      </c>
      <c r="F653" t="s">
        <v>249</v>
      </c>
      <c r="G653">
        <v>0.39027777777777778</v>
      </c>
      <c r="H653" t="s">
        <v>247</v>
      </c>
      <c r="I653">
        <v>0.80625000000000002</v>
      </c>
      <c r="J653">
        <v>100</v>
      </c>
      <c r="K653">
        <v>0</v>
      </c>
      <c r="L653">
        <v>0</v>
      </c>
      <c r="M653">
        <v>0</v>
      </c>
      <c r="N653">
        <v>0</v>
      </c>
      <c r="O653">
        <v>0</v>
      </c>
      <c r="P653" t="s">
        <v>248</v>
      </c>
      <c r="S653">
        <v>9.9833333333333343</v>
      </c>
      <c r="T653">
        <v>350</v>
      </c>
      <c r="U653">
        <v>450</v>
      </c>
    </row>
    <row r="654" spans="1:21">
      <c r="A654">
        <v>44838</v>
      </c>
      <c r="B654" t="s">
        <v>244</v>
      </c>
      <c r="C654" t="s">
        <v>245</v>
      </c>
      <c r="D654" t="s">
        <v>163</v>
      </c>
      <c r="E654" t="s">
        <v>246</v>
      </c>
      <c r="F654" t="s">
        <v>1484</v>
      </c>
      <c r="G654">
        <v>0.37361111111111112</v>
      </c>
      <c r="H654" t="s">
        <v>1485</v>
      </c>
      <c r="I654">
        <v>0.80902777777777779</v>
      </c>
      <c r="J654">
        <v>220</v>
      </c>
      <c r="K654">
        <v>0</v>
      </c>
      <c r="L654">
        <v>0</v>
      </c>
      <c r="M654">
        <v>350</v>
      </c>
      <c r="N654">
        <v>0</v>
      </c>
      <c r="O654">
        <v>0</v>
      </c>
      <c r="P654" t="s">
        <v>248</v>
      </c>
      <c r="S654">
        <v>10.45</v>
      </c>
      <c r="T654">
        <v>350</v>
      </c>
      <c r="U654">
        <v>570</v>
      </c>
    </row>
    <row r="655" spans="1:21">
      <c r="A655">
        <v>44840</v>
      </c>
      <c r="B655" t="s">
        <v>244</v>
      </c>
      <c r="C655" t="s">
        <v>245</v>
      </c>
      <c r="D655" t="s">
        <v>163</v>
      </c>
      <c r="E655" t="s">
        <v>246</v>
      </c>
      <c r="F655" t="s">
        <v>1486</v>
      </c>
      <c r="G655">
        <v>0.40208333333333335</v>
      </c>
      <c r="H655" t="s">
        <v>1487</v>
      </c>
      <c r="I655">
        <v>0.72638888888888886</v>
      </c>
      <c r="J655">
        <v>170</v>
      </c>
      <c r="K655">
        <v>0</v>
      </c>
      <c r="L655">
        <v>0</v>
      </c>
      <c r="M655">
        <v>175</v>
      </c>
      <c r="N655">
        <v>0</v>
      </c>
      <c r="O655">
        <v>0</v>
      </c>
      <c r="P655" t="s">
        <v>248</v>
      </c>
      <c r="S655">
        <v>7.7833333333333332</v>
      </c>
      <c r="T655">
        <v>175</v>
      </c>
      <c r="U655">
        <v>345</v>
      </c>
    </row>
    <row r="656" spans="1:21">
      <c r="A656">
        <v>44841</v>
      </c>
      <c r="B656" t="s">
        <v>244</v>
      </c>
      <c r="C656" t="s">
        <v>245</v>
      </c>
      <c r="D656" t="s">
        <v>163</v>
      </c>
      <c r="E656" t="s">
        <v>246</v>
      </c>
      <c r="F656" t="s">
        <v>249</v>
      </c>
      <c r="G656">
        <v>0.40763888888888888</v>
      </c>
      <c r="H656" t="s">
        <v>247</v>
      </c>
      <c r="I656">
        <v>0.72152777777777777</v>
      </c>
      <c r="J656">
        <v>155</v>
      </c>
      <c r="K656">
        <v>0</v>
      </c>
      <c r="L656">
        <v>0</v>
      </c>
      <c r="M656">
        <v>175</v>
      </c>
      <c r="N656">
        <v>0</v>
      </c>
      <c r="O656">
        <v>0</v>
      </c>
      <c r="P656" t="s">
        <v>248</v>
      </c>
      <c r="S656">
        <v>7.5333333333333332</v>
      </c>
      <c r="T656">
        <v>175</v>
      </c>
      <c r="U656">
        <v>330</v>
      </c>
    </row>
    <row r="657" spans="1:21">
      <c r="A657">
        <v>44842</v>
      </c>
      <c r="B657" t="s">
        <v>244</v>
      </c>
      <c r="C657" t="s">
        <v>245</v>
      </c>
      <c r="D657" t="s">
        <v>163</v>
      </c>
      <c r="E657" t="s">
        <v>246</v>
      </c>
      <c r="F657" t="s">
        <v>249</v>
      </c>
      <c r="G657">
        <v>0.40694444444444444</v>
      </c>
      <c r="H657" t="s">
        <v>247</v>
      </c>
      <c r="I657">
        <v>0.71111111111111114</v>
      </c>
      <c r="J657">
        <v>60</v>
      </c>
      <c r="K657">
        <v>0</v>
      </c>
      <c r="L657">
        <v>0</v>
      </c>
      <c r="M657">
        <v>0</v>
      </c>
      <c r="N657">
        <v>80</v>
      </c>
      <c r="O657">
        <v>0</v>
      </c>
      <c r="P657" t="s">
        <v>248</v>
      </c>
      <c r="S657">
        <v>7.299999999999998</v>
      </c>
      <c r="T657">
        <v>175</v>
      </c>
      <c r="U657">
        <v>315</v>
      </c>
    </row>
    <row r="658" spans="1:21">
      <c r="A658">
        <v>44844</v>
      </c>
      <c r="B658" t="s">
        <v>244</v>
      </c>
      <c r="C658" t="s">
        <v>245</v>
      </c>
      <c r="D658" t="s">
        <v>163</v>
      </c>
      <c r="E658" t="s">
        <v>246</v>
      </c>
      <c r="F658" t="s">
        <v>1484</v>
      </c>
      <c r="G658">
        <v>0.39444444444444443</v>
      </c>
      <c r="H658" t="s">
        <v>1485</v>
      </c>
      <c r="I658">
        <v>0.72013888888888888</v>
      </c>
      <c r="J658">
        <v>110</v>
      </c>
      <c r="K658">
        <v>0</v>
      </c>
      <c r="L658">
        <v>0</v>
      </c>
      <c r="M658">
        <v>175</v>
      </c>
      <c r="N658">
        <v>0</v>
      </c>
      <c r="O658">
        <v>0</v>
      </c>
      <c r="P658" t="s">
        <v>248</v>
      </c>
      <c r="S658">
        <v>7.8166666666666664</v>
      </c>
      <c r="T658">
        <v>175</v>
      </c>
      <c r="U658">
        <v>285</v>
      </c>
    </row>
    <row r="659" spans="1:21">
      <c r="A659">
        <v>44845</v>
      </c>
      <c r="B659" t="s">
        <v>244</v>
      </c>
      <c r="C659" t="s">
        <v>245</v>
      </c>
      <c r="D659" t="s">
        <v>163</v>
      </c>
      <c r="E659" t="s">
        <v>246</v>
      </c>
      <c r="F659" t="s">
        <v>1488</v>
      </c>
      <c r="G659">
        <v>0.39861111111111114</v>
      </c>
      <c r="H659" t="s">
        <v>1485</v>
      </c>
      <c r="I659">
        <v>0.73263888888888884</v>
      </c>
      <c r="J659">
        <v>90</v>
      </c>
      <c r="K659">
        <v>0</v>
      </c>
      <c r="L659">
        <v>0</v>
      </c>
      <c r="M659">
        <v>175</v>
      </c>
      <c r="N659">
        <v>0</v>
      </c>
      <c r="O659">
        <v>0</v>
      </c>
      <c r="P659" t="s">
        <v>248</v>
      </c>
      <c r="S659">
        <v>8.0166666666666657</v>
      </c>
      <c r="T659">
        <v>350</v>
      </c>
      <c r="U659">
        <v>440</v>
      </c>
    </row>
    <row r="660" spans="1:21">
      <c r="A660">
        <v>44846</v>
      </c>
      <c r="B660" t="s">
        <v>244</v>
      </c>
      <c r="C660" t="s">
        <v>245</v>
      </c>
      <c r="D660" t="s">
        <v>163</v>
      </c>
      <c r="E660" t="s">
        <v>246</v>
      </c>
      <c r="F660" t="s">
        <v>249</v>
      </c>
      <c r="G660">
        <v>0.38194444444444442</v>
      </c>
      <c r="H660" t="s">
        <v>1485</v>
      </c>
      <c r="I660">
        <v>0.7583333333333333</v>
      </c>
      <c r="J660">
        <v>220</v>
      </c>
      <c r="K660">
        <v>0</v>
      </c>
      <c r="L660">
        <v>0</v>
      </c>
      <c r="M660">
        <v>175</v>
      </c>
      <c r="N660">
        <v>0</v>
      </c>
      <c r="O660">
        <v>0</v>
      </c>
      <c r="P660" t="s">
        <v>248</v>
      </c>
      <c r="S660">
        <v>9.0333333333333332</v>
      </c>
      <c r="T660">
        <v>350</v>
      </c>
      <c r="U660">
        <v>570</v>
      </c>
    </row>
    <row r="661" spans="1:21">
      <c r="A661">
        <v>44847</v>
      </c>
      <c r="B661" t="s">
        <v>244</v>
      </c>
      <c r="C661" t="s">
        <v>245</v>
      </c>
      <c r="D661" t="s">
        <v>163</v>
      </c>
      <c r="E661" t="s">
        <v>246</v>
      </c>
      <c r="F661" t="s">
        <v>249</v>
      </c>
      <c r="G661">
        <v>0.39374999999999999</v>
      </c>
      <c r="H661" t="s">
        <v>249</v>
      </c>
      <c r="I661">
        <v>0.73402777777777772</v>
      </c>
      <c r="J661">
        <v>100</v>
      </c>
      <c r="K661">
        <v>0</v>
      </c>
      <c r="L661">
        <v>0</v>
      </c>
      <c r="M661">
        <v>175</v>
      </c>
      <c r="N661">
        <v>0</v>
      </c>
      <c r="O661">
        <v>0</v>
      </c>
      <c r="P661" t="s">
        <v>248</v>
      </c>
      <c r="S661">
        <v>8.1666666666666661</v>
      </c>
      <c r="T661">
        <v>350</v>
      </c>
      <c r="U661">
        <v>450</v>
      </c>
    </row>
    <row r="662" spans="1:21">
      <c r="A662">
        <v>44848</v>
      </c>
      <c r="B662" t="s">
        <v>244</v>
      </c>
      <c r="C662" t="s">
        <v>245</v>
      </c>
      <c r="D662" t="s">
        <v>163</v>
      </c>
      <c r="E662" t="s">
        <v>246</v>
      </c>
      <c r="F662" t="s">
        <v>249</v>
      </c>
      <c r="G662">
        <v>0.38750000000000001</v>
      </c>
      <c r="H662" t="s">
        <v>1485</v>
      </c>
      <c r="I662">
        <v>0.7319444444444444</v>
      </c>
      <c r="J662">
        <v>215</v>
      </c>
      <c r="K662">
        <v>0</v>
      </c>
      <c r="L662">
        <v>0</v>
      </c>
      <c r="M662">
        <v>175</v>
      </c>
      <c r="N662">
        <v>0</v>
      </c>
      <c r="O662">
        <v>0</v>
      </c>
      <c r="P662" t="s">
        <v>248</v>
      </c>
      <c r="S662">
        <v>8.2666666666666657</v>
      </c>
      <c r="T662">
        <v>350</v>
      </c>
      <c r="U662">
        <v>565</v>
      </c>
    </row>
    <row r="663" spans="1:21">
      <c r="A663">
        <v>44849</v>
      </c>
      <c r="B663" t="s">
        <v>244</v>
      </c>
      <c r="C663" t="s">
        <v>245</v>
      </c>
      <c r="D663" t="s">
        <v>163</v>
      </c>
      <c r="E663" t="s">
        <v>246</v>
      </c>
      <c r="F663" t="s">
        <v>249</v>
      </c>
      <c r="G663">
        <v>0.41249999999999998</v>
      </c>
      <c r="H663" t="s">
        <v>1485</v>
      </c>
      <c r="I663">
        <v>0.7104166666666667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 t="s">
        <v>248</v>
      </c>
      <c r="S663">
        <v>7.1499999999999986</v>
      </c>
      <c r="T663">
        <v>175</v>
      </c>
      <c r="U663">
        <v>175</v>
      </c>
    </row>
    <row r="664" spans="1:21">
      <c r="A664">
        <v>44835</v>
      </c>
      <c r="B664" t="s">
        <v>845</v>
      </c>
      <c r="C664" t="s">
        <v>846</v>
      </c>
      <c r="D664" t="s">
        <v>163</v>
      </c>
      <c r="E664" t="s">
        <v>171</v>
      </c>
      <c r="F664" t="s">
        <v>1489</v>
      </c>
      <c r="G664">
        <v>0.36805555555555558</v>
      </c>
      <c r="H664" t="s">
        <v>1490</v>
      </c>
      <c r="I664">
        <v>0.875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 t="s">
        <v>181</v>
      </c>
      <c r="S664">
        <v>12.166666666666666</v>
      </c>
      <c r="T664">
        <v>125</v>
      </c>
      <c r="U664">
        <v>125</v>
      </c>
    </row>
    <row r="665" spans="1:21">
      <c r="A665">
        <v>44837</v>
      </c>
      <c r="B665" t="s">
        <v>845</v>
      </c>
      <c r="C665" t="s">
        <v>846</v>
      </c>
      <c r="D665" t="s">
        <v>163</v>
      </c>
      <c r="E665" t="s">
        <v>171</v>
      </c>
      <c r="F665" t="s">
        <v>1491</v>
      </c>
      <c r="G665">
        <v>0.30138888888888887</v>
      </c>
      <c r="H665" t="s">
        <v>1489</v>
      </c>
      <c r="I665">
        <v>0.9375</v>
      </c>
      <c r="J665">
        <v>320</v>
      </c>
      <c r="K665">
        <v>0</v>
      </c>
      <c r="L665">
        <v>0</v>
      </c>
      <c r="M665">
        <v>100</v>
      </c>
      <c r="N665">
        <v>0</v>
      </c>
      <c r="O665">
        <v>0</v>
      </c>
      <c r="P665" t="s">
        <v>181</v>
      </c>
      <c r="S665">
        <v>15.266666666666666</v>
      </c>
      <c r="T665">
        <v>125</v>
      </c>
      <c r="U665">
        <v>445</v>
      </c>
    </row>
    <row r="666" spans="1:21">
      <c r="A666">
        <v>44838</v>
      </c>
      <c r="B666" t="s">
        <v>845</v>
      </c>
      <c r="C666" t="s">
        <v>846</v>
      </c>
      <c r="D666" t="s">
        <v>163</v>
      </c>
      <c r="E666" t="s">
        <v>171</v>
      </c>
      <c r="F666" t="s">
        <v>1489</v>
      </c>
      <c r="G666">
        <v>0.33958333333333335</v>
      </c>
      <c r="H666" t="s">
        <v>1492</v>
      </c>
      <c r="I666">
        <v>0.92986111111111114</v>
      </c>
      <c r="J666">
        <v>0</v>
      </c>
      <c r="K666">
        <v>0</v>
      </c>
      <c r="L666">
        <v>0</v>
      </c>
      <c r="M666">
        <v>100</v>
      </c>
      <c r="N666">
        <v>0</v>
      </c>
      <c r="O666">
        <v>0</v>
      </c>
      <c r="P666" t="s">
        <v>181</v>
      </c>
      <c r="S666">
        <v>14.166666666666664</v>
      </c>
      <c r="T666">
        <v>125</v>
      </c>
      <c r="U666">
        <v>125</v>
      </c>
    </row>
    <row r="667" spans="1:21">
      <c r="A667">
        <v>44840</v>
      </c>
      <c r="B667" t="s">
        <v>845</v>
      </c>
      <c r="C667" t="s">
        <v>846</v>
      </c>
      <c r="D667" t="s">
        <v>163</v>
      </c>
      <c r="E667" t="s">
        <v>171</v>
      </c>
      <c r="F667" t="s">
        <v>1493</v>
      </c>
      <c r="G667">
        <v>0.37916666666666665</v>
      </c>
      <c r="H667" t="s">
        <v>1489</v>
      </c>
      <c r="I667">
        <v>0.87708333333333333</v>
      </c>
      <c r="J667">
        <v>0</v>
      </c>
      <c r="K667">
        <v>0</v>
      </c>
      <c r="L667">
        <v>0</v>
      </c>
      <c r="M667">
        <v>100</v>
      </c>
      <c r="N667">
        <v>0</v>
      </c>
      <c r="O667">
        <v>0</v>
      </c>
      <c r="P667" t="s">
        <v>181</v>
      </c>
      <c r="S667">
        <v>11.95</v>
      </c>
      <c r="T667">
        <v>125</v>
      </c>
      <c r="U667">
        <v>125</v>
      </c>
    </row>
    <row r="668" spans="1:21">
      <c r="A668">
        <v>44841</v>
      </c>
      <c r="B668" t="s">
        <v>845</v>
      </c>
      <c r="C668" t="s">
        <v>846</v>
      </c>
      <c r="D668" t="s">
        <v>163</v>
      </c>
      <c r="E668" t="s">
        <v>171</v>
      </c>
      <c r="F668" t="s">
        <v>1494</v>
      </c>
      <c r="G668">
        <v>0.36527777777777776</v>
      </c>
      <c r="H668" t="s">
        <v>1489</v>
      </c>
      <c r="I668">
        <v>0.84097222222222223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 t="s">
        <v>181</v>
      </c>
      <c r="S668">
        <v>11.416666666666668</v>
      </c>
      <c r="T668">
        <v>125</v>
      </c>
      <c r="U668">
        <v>125</v>
      </c>
    </row>
    <row r="669" spans="1:21">
      <c r="A669">
        <v>44842</v>
      </c>
      <c r="B669" t="s">
        <v>845</v>
      </c>
      <c r="C669" t="s">
        <v>846</v>
      </c>
      <c r="D669" t="s">
        <v>163</v>
      </c>
      <c r="E669" t="s">
        <v>171</v>
      </c>
      <c r="F669" t="s">
        <v>1495</v>
      </c>
      <c r="G669">
        <v>0.30972222222222223</v>
      </c>
      <c r="H669" t="s">
        <v>1496</v>
      </c>
      <c r="I669">
        <v>0.81597222222222221</v>
      </c>
      <c r="J669">
        <v>320</v>
      </c>
      <c r="K669">
        <v>0</v>
      </c>
      <c r="L669">
        <v>0</v>
      </c>
      <c r="M669">
        <v>0</v>
      </c>
      <c r="N669">
        <v>0</v>
      </c>
      <c r="O669">
        <v>0</v>
      </c>
      <c r="P669" t="s">
        <v>181</v>
      </c>
      <c r="S669">
        <v>12.149999999999999</v>
      </c>
      <c r="T669">
        <v>125</v>
      </c>
      <c r="U669">
        <v>445</v>
      </c>
    </row>
    <row r="670" spans="1:21">
      <c r="A670">
        <v>44844</v>
      </c>
      <c r="B670" t="s">
        <v>845</v>
      </c>
      <c r="C670" t="s">
        <v>846</v>
      </c>
      <c r="D670" t="s">
        <v>163</v>
      </c>
      <c r="E670" t="s">
        <v>171</v>
      </c>
      <c r="F670" t="s">
        <v>1497</v>
      </c>
      <c r="G670">
        <v>0.34791666666666665</v>
      </c>
      <c r="H670" t="s">
        <v>1489</v>
      </c>
      <c r="I670">
        <v>0.84583333333333333</v>
      </c>
      <c r="J670">
        <v>200</v>
      </c>
      <c r="K670">
        <v>0</v>
      </c>
      <c r="L670">
        <v>0</v>
      </c>
      <c r="M670">
        <v>100</v>
      </c>
      <c r="N670">
        <v>0</v>
      </c>
      <c r="O670">
        <v>0</v>
      </c>
      <c r="P670" t="s">
        <v>181</v>
      </c>
      <c r="S670">
        <v>11.95</v>
      </c>
      <c r="T670">
        <v>125</v>
      </c>
      <c r="U670">
        <v>325</v>
      </c>
    </row>
    <row r="671" spans="1:21">
      <c r="A671">
        <v>44845</v>
      </c>
      <c r="B671" t="s">
        <v>845</v>
      </c>
      <c r="C671" t="s">
        <v>846</v>
      </c>
      <c r="D671" t="s">
        <v>163</v>
      </c>
      <c r="E671" t="s">
        <v>171</v>
      </c>
      <c r="F671" t="s">
        <v>1498</v>
      </c>
      <c r="G671">
        <v>0.33750000000000002</v>
      </c>
      <c r="H671" t="s">
        <v>1489</v>
      </c>
      <c r="I671">
        <v>0.85416666666666663</v>
      </c>
      <c r="J671">
        <v>100</v>
      </c>
      <c r="K671">
        <v>0</v>
      </c>
      <c r="L671">
        <v>0</v>
      </c>
      <c r="M671">
        <v>100</v>
      </c>
      <c r="N671">
        <v>0</v>
      </c>
      <c r="O671">
        <v>0</v>
      </c>
      <c r="P671" t="s">
        <v>181</v>
      </c>
      <c r="S671">
        <v>12.399999999999999</v>
      </c>
      <c r="T671">
        <v>125</v>
      </c>
      <c r="U671">
        <v>225</v>
      </c>
    </row>
    <row r="672" spans="1:21">
      <c r="A672">
        <v>44846</v>
      </c>
      <c r="B672" t="s">
        <v>845</v>
      </c>
      <c r="C672" t="s">
        <v>846</v>
      </c>
      <c r="D672" t="s">
        <v>163</v>
      </c>
      <c r="E672" t="s">
        <v>171</v>
      </c>
      <c r="F672" t="s">
        <v>1498</v>
      </c>
      <c r="G672">
        <v>0.33680555555555558</v>
      </c>
      <c r="H672" t="s">
        <v>1489</v>
      </c>
      <c r="I672">
        <v>0.84861111111111109</v>
      </c>
      <c r="J672">
        <v>0</v>
      </c>
      <c r="K672">
        <v>0</v>
      </c>
      <c r="L672">
        <v>0</v>
      </c>
      <c r="M672">
        <v>100</v>
      </c>
      <c r="N672">
        <v>0</v>
      </c>
      <c r="O672">
        <v>0</v>
      </c>
      <c r="P672" t="s">
        <v>181</v>
      </c>
      <c r="S672">
        <v>12.283333333333335</v>
      </c>
      <c r="T672">
        <v>125</v>
      </c>
      <c r="U672">
        <v>125</v>
      </c>
    </row>
    <row r="673" spans="1:21">
      <c r="A673">
        <v>44848</v>
      </c>
      <c r="B673" t="s">
        <v>845</v>
      </c>
      <c r="C673" t="s">
        <v>846</v>
      </c>
      <c r="D673" t="s">
        <v>163</v>
      </c>
      <c r="E673" t="s">
        <v>171</v>
      </c>
      <c r="F673" t="s">
        <v>1499</v>
      </c>
      <c r="G673">
        <v>0.36180555555555555</v>
      </c>
      <c r="H673" t="s">
        <v>1489</v>
      </c>
      <c r="I673">
        <v>0.9555555555555556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 t="s">
        <v>181</v>
      </c>
      <c r="S673">
        <v>14.25</v>
      </c>
      <c r="T673">
        <v>125</v>
      </c>
      <c r="U673">
        <v>125</v>
      </c>
    </row>
    <row r="674" spans="1:21">
      <c r="A674">
        <v>44849</v>
      </c>
      <c r="B674" t="s">
        <v>845</v>
      </c>
      <c r="C674" t="s">
        <v>846</v>
      </c>
      <c r="D674" t="s">
        <v>163</v>
      </c>
      <c r="E674" t="s">
        <v>171</v>
      </c>
      <c r="F674" t="s">
        <v>1498</v>
      </c>
      <c r="G674">
        <v>0.35138888888888886</v>
      </c>
      <c r="H674" t="s">
        <v>1489</v>
      </c>
      <c r="I674">
        <v>0.87916666666666665</v>
      </c>
      <c r="J674">
        <v>850</v>
      </c>
      <c r="K674">
        <v>0</v>
      </c>
      <c r="L674">
        <v>0</v>
      </c>
      <c r="M674">
        <v>100</v>
      </c>
      <c r="N674">
        <v>0</v>
      </c>
      <c r="O674">
        <v>0</v>
      </c>
      <c r="P674" t="s">
        <v>181</v>
      </c>
      <c r="S674">
        <v>12.666666666666668</v>
      </c>
      <c r="T674">
        <v>125</v>
      </c>
      <c r="U674">
        <v>975</v>
      </c>
    </row>
    <row r="675" spans="1:21">
      <c r="A675">
        <v>44835</v>
      </c>
      <c r="B675" t="s">
        <v>858</v>
      </c>
      <c r="C675" t="s">
        <v>859</v>
      </c>
      <c r="D675" t="s">
        <v>163</v>
      </c>
      <c r="E675" t="s">
        <v>171</v>
      </c>
      <c r="F675" t="s">
        <v>1500</v>
      </c>
      <c r="G675">
        <v>0.43055555555555558</v>
      </c>
      <c r="H675" t="s">
        <v>1501</v>
      </c>
      <c r="I675">
        <v>0.82430555555555551</v>
      </c>
      <c r="J675">
        <v>0</v>
      </c>
      <c r="K675">
        <v>0</v>
      </c>
      <c r="L675">
        <v>150</v>
      </c>
      <c r="M675">
        <v>0</v>
      </c>
      <c r="N675">
        <v>0</v>
      </c>
      <c r="O675">
        <v>0</v>
      </c>
      <c r="P675" t="s">
        <v>1502</v>
      </c>
      <c r="S675">
        <v>9.4499999999999993</v>
      </c>
      <c r="T675">
        <v>125</v>
      </c>
      <c r="U675">
        <v>275</v>
      </c>
    </row>
    <row r="676" spans="1:21">
      <c r="A676">
        <v>44837</v>
      </c>
      <c r="B676" t="s">
        <v>858</v>
      </c>
      <c r="C676" t="s">
        <v>859</v>
      </c>
      <c r="D676" t="s">
        <v>163</v>
      </c>
      <c r="E676" t="s">
        <v>171</v>
      </c>
      <c r="F676" t="s">
        <v>1500</v>
      </c>
      <c r="G676">
        <v>0.43263888888888891</v>
      </c>
      <c r="H676" t="s">
        <v>1500</v>
      </c>
      <c r="I676">
        <v>0.83402777777777781</v>
      </c>
      <c r="J676">
        <v>0</v>
      </c>
      <c r="K676">
        <v>0</v>
      </c>
      <c r="L676">
        <v>150</v>
      </c>
      <c r="M676">
        <v>0</v>
      </c>
      <c r="N676">
        <v>0</v>
      </c>
      <c r="O676">
        <v>0</v>
      </c>
      <c r="P676" t="s">
        <v>1502</v>
      </c>
      <c r="S676">
        <v>9.6333333333333329</v>
      </c>
      <c r="T676">
        <v>125</v>
      </c>
      <c r="U676">
        <v>275</v>
      </c>
    </row>
    <row r="677" spans="1:21">
      <c r="A677">
        <v>44838</v>
      </c>
      <c r="B677" t="s">
        <v>858</v>
      </c>
      <c r="C677" t="s">
        <v>859</v>
      </c>
      <c r="D677" t="s">
        <v>163</v>
      </c>
      <c r="E677" t="s">
        <v>171</v>
      </c>
      <c r="F677" t="s">
        <v>1503</v>
      </c>
      <c r="G677">
        <v>0.39444444444444443</v>
      </c>
      <c r="H677" t="s">
        <v>1504</v>
      </c>
      <c r="I677">
        <v>0.82777777777777772</v>
      </c>
      <c r="J677">
        <v>0</v>
      </c>
      <c r="K677">
        <v>0</v>
      </c>
      <c r="L677">
        <v>150</v>
      </c>
      <c r="M677">
        <v>0</v>
      </c>
      <c r="N677">
        <v>0</v>
      </c>
      <c r="O677">
        <v>0</v>
      </c>
      <c r="P677" t="s">
        <v>1502</v>
      </c>
      <c r="S677">
        <v>10.399999999999999</v>
      </c>
      <c r="T677">
        <v>125</v>
      </c>
      <c r="U677">
        <v>275</v>
      </c>
    </row>
    <row r="678" spans="1:21">
      <c r="A678">
        <v>44839</v>
      </c>
      <c r="B678" t="s">
        <v>858</v>
      </c>
      <c r="C678" t="s">
        <v>859</v>
      </c>
      <c r="D678" t="s">
        <v>163</v>
      </c>
      <c r="E678" t="s">
        <v>171</v>
      </c>
      <c r="F678" t="s">
        <v>1500</v>
      </c>
      <c r="G678">
        <v>0.41249999999999998</v>
      </c>
      <c r="H678" t="s">
        <v>1501</v>
      </c>
      <c r="I678">
        <v>0.82777777777777772</v>
      </c>
      <c r="J678">
        <v>0</v>
      </c>
      <c r="K678">
        <v>0</v>
      </c>
      <c r="L678">
        <v>150</v>
      </c>
      <c r="M678">
        <v>0</v>
      </c>
      <c r="N678">
        <v>0</v>
      </c>
      <c r="O678">
        <v>0</v>
      </c>
      <c r="P678" t="s">
        <v>1502</v>
      </c>
      <c r="S678">
        <v>9.966666666666665</v>
      </c>
      <c r="T678">
        <v>125</v>
      </c>
      <c r="U678">
        <v>275</v>
      </c>
    </row>
    <row r="679" spans="1:21">
      <c r="A679">
        <v>44840</v>
      </c>
      <c r="B679" t="s">
        <v>858</v>
      </c>
      <c r="C679" t="s">
        <v>859</v>
      </c>
      <c r="D679" t="s">
        <v>163</v>
      </c>
      <c r="E679" t="s">
        <v>171</v>
      </c>
      <c r="F679" t="s">
        <v>1501</v>
      </c>
      <c r="G679">
        <v>0.3923611111111111</v>
      </c>
      <c r="H679" t="s">
        <v>1505</v>
      </c>
      <c r="I679">
        <v>0.86250000000000004</v>
      </c>
      <c r="J679">
        <v>0</v>
      </c>
      <c r="K679">
        <v>0</v>
      </c>
      <c r="L679">
        <v>150</v>
      </c>
      <c r="M679">
        <v>0</v>
      </c>
      <c r="N679">
        <v>0</v>
      </c>
      <c r="O679">
        <v>0</v>
      </c>
      <c r="P679" t="s">
        <v>1502</v>
      </c>
      <c r="S679">
        <v>11.283333333333331</v>
      </c>
      <c r="T679">
        <v>125</v>
      </c>
      <c r="U679">
        <v>275</v>
      </c>
    </row>
    <row r="680" spans="1:21">
      <c r="A680">
        <v>44841</v>
      </c>
      <c r="B680" t="s">
        <v>858</v>
      </c>
      <c r="C680" t="s">
        <v>859</v>
      </c>
      <c r="D680" t="s">
        <v>163</v>
      </c>
      <c r="E680" t="s">
        <v>171</v>
      </c>
      <c r="F680" t="s">
        <v>1501</v>
      </c>
      <c r="G680">
        <v>0.45833333333333331</v>
      </c>
      <c r="H680" t="s">
        <v>1503</v>
      </c>
      <c r="I680">
        <v>0.82152777777777775</v>
      </c>
      <c r="J680">
        <v>0</v>
      </c>
      <c r="K680">
        <v>0</v>
      </c>
      <c r="L680">
        <v>150</v>
      </c>
      <c r="M680">
        <v>0</v>
      </c>
      <c r="N680">
        <v>0</v>
      </c>
      <c r="O680">
        <v>0</v>
      </c>
      <c r="P680" t="s">
        <v>1502</v>
      </c>
      <c r="S680">
        <v>8.7166666666666668</v>
      </c>
      <c r="T680">
        <v>125</v>
      </c>
      <c r="U680">
        <v>275</v>
      </c>
    </row>
    <row r="681" spans="1:21">
      <c r="A681">
        <v>44842</v>
      </c>
      <c r="B681" t="s">
        <v>858</v>
      </c>
      <c r="C681" t="s">
        <v>859</v>
      </c>
      <c r="D681" t="s">
        <v>163</v>
      </c>
      <c r="E681" t="s">
        <v>171</v>
      </c>
      <c r="F681" t="s">
        <v>1503</v>
      </c>
      <c r="G681">
        <v>0.46944444444444444</v>
      </c>
      <c r="H681" t="s">
        <v>1503</v>
      </c>
      <c r="I681">
        <v>0.94097222222222221</v>
      </c>
      <c r="J681">
        <v>581</v>
      </c>
      <c r="K681">
        <v>0</v>
      </c>
      <c r="L681">
        <v>0</v>
      </c>
      <c r="M681">
        <v>0</v>
      </c>
      <c r="N681">
        <v>0</v>
      </c>
      <c r="O681">
        <v>0</v>
      </c>
      <c r="P681" t="s">
        <v>1502</v>
      </c>
      <c r="S681">
        <v>11.316666666666666</v>
      </c>
      <c r="T681">
        <v>125</v>
      </c>
      <c r="U681">
        <v>706</v>
      </c>
    </row>
    <row r="682" spans="1:21">
      <c r="A682">
        <v>44844</v>
      </c>
      <c r="B682" t="s">
        <v>858</v>
      </c>
      <c r="C682" t="s">
        <v>859</v>
      </c>
      <c r="D682" t="s">
        <v>163</v>
      </c>
      <c r="E682" t="s">
        <v>171</v>
      </c>
      <c r="F682" t="s">
        <v>1506</v>
      </c>
      <c r="G682">
        <v>0.46805555555555556</v>
      </c>
      <c r="H682" t="s">
        <v>1507</v>
      </c>
      <c r="I682">
        <v>0.75208333333333333</v>
      </c>
      <c r="J682">
        <v>0</v>
      </c>
      <c r="K682">
        <v>0</v>
      </c>
      <c r="L682">
        <v>150</v>
      </c>
      <c r="M682">
        <v>0</v>
      </c>
      <c r="N682">
        <v>0</v>
      </c>
      <c r="O682">
        <v>0</v>
      </c>
      <c r="P682" t="s">
        <v>1502</v>
      </c>
      <c r="S682">
        <v>6.8166666666666664</v>
      </c>
      <c r="T682">
        <v>62.5</v>
      </c>
      <c r="U682">
        <v>212.5</v>
      </c>
    </row>
    <row r="683" spans="1:21">
      <c r="A683">
        <v>44845</v>
      </c>
      <c r="B683" t="s">
        <v>858</v>
      </c>
      <c r="C683" t="s">
        <v>859</v>
      </c>
      <c r="D683" t="s">
        <v>163</v>
      </c>
      <c r="E683" t="s">
        <v>171</v>
      </c>
      <c r="F683" t="s">
        <v>1500</v>
      </c>
      <c r="G683">
        <v>0.39166666666666666</v>
      </c>
      <c r="H683" t="s">
        <v>1500</v>
      </c>
      <c r="I683">
        <v>0.81597222222222221</v>
      </c>
      <c r="J683">
        <v>0</v>
      </c>
      <c r="K683">
        <v>0</v>
      </c>
      <c r="L683">
        <v>150</v>
      </c>
      <c r="M683">
        <v>0</v>
      </c>
      <c r="N683">
        <v>0</v>
      </c>
      <c r="O683">
        <v>0</v>
      </c>
      <c r="P683" t="s">
        <v>1502</v>
      </c>
      <c r="S683">
        <v>10.183333333333334</v>
      </c>
      <c r="T683">
        <v>125</v>
      </c>
      <c r="U683">
        <v>275</v>
      </c>
    </row>
    <row r="684" spans="1:21">
      <c r="A684">
        <v>44846</v>
      </c>
      <c r="B684" t="s">
        <v>858</v>
      </c>
      <c r="C684" t="s">
        <v>859</v>
      </c>
      <c r="D684" t="s">
        <v>163</v>
      </c>
      <c r="E684" t="s">
        <v>171</v>
      </c>
      <c r="F684" t="s">
        <v>1506</v>
      </c>
      <c r="G684">
        <v>0.41805555555555557</v>
      </c>
      <c r="H684" t="s">
        <v>1504</v>
      </c>
      <c r="I684">
        <v>0.84930555555555554</v>
      </c>
      <c r="J684">
        <v>0</v>
      </c>
      <c r="K684">
        <v>0</v>
      </c>
      <c r="L684">
        <v>150</v>
      </c>
      <c r="M684">
        <v>0</v>
      </c>
      <c r="N684">
        <v>0</v>
      </c>
      <c r="O684">
        <v>0</v>
      </c>
      <c r="P684" t="s">
        <v>1502</v>
      </c>
      <c r="S684">
        <v>10.350000000000001</v>
      </c>
      <c r="T684">
        <v>125</v>
      </c>
      <c r="U684">
        <v>275</v>
      </c>
    </row>
    <row r="685" spans="1:21">
      <c r="A685">
        <v>44847</v>
      </c>
      <c r="B685" t="s">
        <v>858</v>
      </c>
      <c r="C685" t="s">
        <v>859</v>
      </c>
      <c r="D685" t="s">
        <v>163</v>
      </c>
      <c r="E685" t="s">
        <v>171</v>
      </c>
      <c r="F685" t="s">
        <v>1508</v>
      </c>
      <c r="G685">
        <v>0.44374999999999998</v>
      </c>
      <c r="H685" t="s">
        <v>1506</v>
      </c>
      <c r="I685">
        <v>0.85972222222222228</v>
      </c>
      <c r="J685">
        <v>0</v>
      </c>
      <c r="K685">
        <v>0</v>
      </c>
      <c r="L685">
        <v>150</v>
      </c>
      <c r="M685">
        <v>0</v>
      </c>
      <c r="N685">
        <v>0</v>
      </c>
      <c r="O685">
        <v>0</v>
      </c>
      <c r="P685" t="s">
        <v>1502</v>
      </c>
      <c r="S685">
        <v>9.9833333333333325</v>
      </c>
      <c r="T685">
        <v>125</v>
      </c>
      <c r="U685">
        <v>275</v>
      </c>
    </row>
    <row r="686" spans="1:21">
      <c r="A686">
        <v>44848</v>
      </c>
      <c r="B686" t="s">
        <v>858</v>
      </c>
      <c r="C686" t="s">
        <v>859</v>
      </c>
      <c r="D686" t="s">
        <v>163</v>
      </c>
      <c r="E686" t="s">
        <v>171</v>
      </c>
      <c r="F686" t="s">
        <v>1503</v>
      </c>
      <c r="G686">
        <v>0.42777777777777776</v>
      </c>
      <c r="H686" t="s">
        <v>1500</v>
      </c>
      <c r="I686">
        <v>0.76249999999999996</v>
      </c>
      <c r="J686">
        <v>0</v>
      </c>
      <c r="K686">
        <v>0</v>
      </c>
      <c r="L686">
        <v>150</v>
      </c>
      <c r="M686">
        <v>0</v>
      </c>
      <c r="N686">
        <v>0</v>
      </c>
      <c r="O686">
        <v>0</v>
      </c>
      <c r="P686" t="s">
        <v>1502</v>
      </c>
      <c r="S686">
        <v>8.0333333333333332</v>
      </c>
      <c r="T686">
        <v>125</v>
      </c>
      <c r="U686">
        <v>275</v>
      </c>
    </row>
    <row r="687" spans="1:21">
      <c r="A687">
        <v>44849</v>
      </c>
      <c r="B687" t="s">
        <v>858</v>
      </c>
      <c r="C687" t="s">
        <v>859</v>
      </c>
      <c r="D687" t="s">
        <v>163</v>
      </c>
      <c r="E687" t="s">
        <v>171</v>
      </c>
      <c r="F687" t="s">
        <v>1501</v>
      </c>
      <c r="G687">
        <v>0.40069444444444446</v>
      </c>
      <c r="H687" t="s">
        <v>1500</v>
      </c>
      <c r="I687">
        <v>0.8569444444444444</v>
      </c>
      <c r="J687">
        <v>610</v>
      </c>
      <c r="K687">
        <v>0</v>
      </c>
      <c r="L687">
        <v>150</v>
      </c>
      <c r="M687">
        <v>0</v>
      </c>
      <c r="N687">
        <v>150</v>
      </c>
      <c r="O687">
        <v>0</v>
      </c>
      <c r="P687" t="s">
        <v>1502</v>
      </c>
      <c r="S687">
        <v>10.95</v>
      </c>
      <c r="T687">
        <v>125</v>
      </c>
      <c r="U687">
        <v>1035</v>
      </c>
    </row>
    <row r="688" spans="1:21">
      <c r="A688">
        <v>44835</v>
      </c>
      <c r="B688" t="s">
        <v>72</v>
      </c>
      <c r="C688" t="s">
        <v>73</v>
      </c>
      <c r="D688" t="s">
        <v>163</v>
      </c>
      <c r="E688" t="s">
        <v>171</v>
      </c>
      <c r="F688" t="s">
        <v>1509</v>
      </c>
      <c r="G688">
        <v>0.40208333333333335</v>
      </c>
      <c r="H688" t="s">
        <v>1510</v>
      </c>
      <c r="I688">
        <v>0.83958333333333335</v>
      </c>
      <c r="J688">
        <v>500</v>
      </c>
      <c r="K688">
        <v>0</v>
      </c>
      <c r="L688">
        <v>150</v>
      </c>
      <c r="M688">
        <v>0</v>
      </c>
      <c r="N688">
        <v>0</v>
      </c>
      <c r="O688">
        <v>0</v>
      </c>
      <c r="P688" t="s">
        <v>235</v>
      </c>
      <c r="S688">
        <v>10.500000000000002</v>
      </c>
      <c r="T688">
        <v>125</v>
      </c>
      <c r="U688">
        <v>775</v>
      </c>
    </row>
    <row r="689" spans="1:21">
      <c r="A689">
        <v>44837</v>
      </c>
      <c r="B689" t="s">
        <v>72</v>
      </c>
      <c r="C689" t="s">
        <v>73</v>
      </c>
      <c r="D689" t="s">
        <v>163</v>
      </c>
      <c r="E689" t="s">
        <v>171</v>
      </c>
      <c r="F689" t="s">
        <v>1511</v>
      </c>
      <c r="G689">
        <v>0.4201388888888889</v>
      </c>
      <c r="H689" t="s">
        <v>1512</v>
      </c>
      <c r="I689">
        <v>0.80625000000000002</v>
      </c>
      <c r="J689">
        <v>0</v>
      </c>
      <c r="K689">
        <v>0</v>
      </c>
      <c r="L689">
        <v>150</v>
      </c>
      <c r="M689">
        <v>0</v>
      </c>
      <c r="N689">
        <v>0</v>
      </c>
      <c r="O689">
        <v>0</v>
      </c>
      <c r="P689" t="s">
        <v>235</v>
      </c>
      <c r="S689">
        <v>9.2666666666666675</v>
      </c>
      <c r="T689">
        <v>125</v>
      </c>
      <c r="U689">
        <v>275</v>
      </c>
    </row>
    <row r="690" spans="1:21">
      <c r="A690">
        <v>44838</v>
      </c>
      <c r="B690" t="s">
        <v>72</v>
      </c>
      <c r="C690" t="s">
        <v>73</v>
      </c>
      <c r="D690" t="s">
        <v>163</v>
      </c>
      <c r="E690" t="s">
        <v>171</v>
      </c>
      <c r="F690" t="s">
        <v>1512</v>
      </c>
      <c r="G690">
        <v>0.40208333333333335</v>
      </c>
      <c r="H690" t="s">
        <v>1512</v>
      </c>
      <c r="I690">
        <v>0.86736111111111114</v>
      </c>
      <c r="J690">
        <v>0</v>
      </c>
      <c r="K690">
        <v>0</v>
      </c>
      <c r="L690">
        <v>150</v>
      </c>
      <c r="M690">
        <v>0</v>
      </c>
      <c r="N690">
        <v>0</v>
      </c>
      <c r="O690">
        <v>0</v>
      </c>
      <c r="P690" t="s">
        <v>235</v>
      </c>
      <c r="S690">
        <v>11.166666666666666</v>
      </c>
      <c r="T690">
        <v>125</v>
      </c>
      <c r="U690">
        <v>275</v>
      </c>
    </row>
    <row r="691" spans="1:21">
      <c r="A691">
        <v>44839</v>
      </c>
      <c r="B691" t="s">
        <v>72</v>
      </c>
      <c r="C691" t="s">
        <v>73</v>
      </c>
      <c r="D691" t="s">
        <v>163</v>
      </c>
      <c r="E691" t="s">
        <v>171</v>
      </c>
      <c r="F691" t="s">
        <v>1512</v>
      </c>
      <c r="G691">
        <v>0.41388888888888886</v>
      </c>
      <c r="H691" t="s">
        <v>1512</v>
      </c>
      <c r="I691">
        <v>0.84652777777777777</v>
      </c>
      <c r="J691">
        <v>0</v>
      </c>
      <c r="K691">
        <v>0</v>
      </c>
      <c r="L691">
        <v>150</v>
      </c>
      <c r="M691">
        <v>0</v>
      </c>
      <c r="N691">
        <v>0</v>
      </c>
      <c r="O691">
        <v>0</v>
      </c>
      <c r="P691" t="s">
        <v>235</v>
      </c>
      <c r="S691">
        <v>10.383333333333333</v>
      </c>
      <c r="T691">
        <v>125</v>
      </c>
      <c r="U691">
        <v>275</v>
      </c>
    </row>
    <row r="692" spans="1:21">
      <c r="A692">
        <v>44840</v>
      </c>
      <c r="B692" t="s">
        <v>72</v>
      </c>
      <c r="C692" t="s">
        <v>73</v>
      </c>
      <c r="D692" t="s">
        <v>163</v>
      </c>
      <c r="E692" t="s">
        <v>171</v>
      </c>
      <c r="F692" t="s">
        <v>1512</v>
      </c>
      <c r="G692">
        <v>0.40902777777777777</v>
      </c>
      <c r="H692" t="s">
        <v>1512</v>
      </c>
      <c r="I692">
        <v>0.81736111111111109</v>
      </c>
      <c r="J692">
        <v>0</v>
      </c>
      <c r="K692">
        <v>0</v>
      </c>
      <c r="L692">
        <v>150</v>
      </c>
      <c r="M692">
        <v>0</v>
      </c>
      <c r="N692">
        <v>0</v>
      </c>
      <c r="O692">
        <v>0</v>
      </c>
      <c r="P692" t="s">
        <v>235</v>
      </c>
      <c r="S692">
        <v>9.8000000000000007</v>
      </c>
      <c r="T692">
        <v>125</v>
      </c>
      <c r="U692">
        <v>275</v>
      </c>
    </row>
    <row r="693" spans="1:21">
      <c r="A693">
        <v>44841</v>
      </c>
      <c r="B693" t="s">
        <v>72</v>
      </c>
      <c r="C693" t="s">
        <v>73</v>
      </c>
      <c r="D693" t="s">
        <v>163</v>
      </c>
      <c r="E693" t="s">
        <v>171</v>
      </c>
      <c r="F693" t="s">
        <v>1512</v>
      </c>
      <c r="G693">
        <v>0.39930555555555558</v>
      </c>
      <c r="H693" t="s">
        <v>1513</v>
      </c>
      <c r="I693">
        <v>0.3611111111111111</v>
      </c>
      <c r="J693">
        <v>500</v>
      </c>
      <c r="K693">
        <v>0</v>
      </c>
      <c r="L693">
        <v>150</v>
      </c>
      <c r="M693">
        <v>0</v>
      </c>
      <c r="N693">
        <v>0</v>
      </c>
      <c r="O693">
        <v>0</v>
      </c>
      <c r="P693" t="s">
        <v>235</v>
      </c>
      <c r="S693">
        <v>23.083333333333336</v>
      </c>
      <c r="T693">
        <v>125</v>
      </c>
      <c r="U693">
        <v>775</v>
      </c>
    </row>
    <row r="694" spans="1:21">
      <c r="A694">
        <v>44842</v>
      </c>
      <c r="B694" t="s">
        <v>72</v>
      </c>
      <c r="C694" t="s">
        <v>73</v>
      </c>
      <c r="D694" t="s">
        <v>163</v>
      </c>
      <c r="E694" t="s">
        <v>171</v>
      </c>
      <c r="F694" t="s">
        <v>1513</v>
      </c>
      <c r="G694">
        <v>0.3611111111111111</v>
      </c>
      <c r="H694" t="s">
        <v>1514</v>
      </c>
      <c r="I694">
        <v>0.66527777777777775</v>
      </c>
      <c r="J694">
        <v>0</v>
      </c>
      <c r="K694">
        <v>0</v>
      </c>
      <c r="L694">
        <v>150</v>
      </c>
      <c r="M694">
        <v>0</v>
      </c>
      <c r="N694">
        <v>0</v>
      </c>
      <c r="O694">
        <v>0</v>
      </c>
      <c r="P694" t="s">
        <v>235</v>
      </c>
      <c r="S694">
        <v>7.2999999999999989</v>
      </c>
      <c r="T694">
        <v>62.5</v>
      </c>
      <c r="U694">
        <v>212.5</v>
      </c>
    </row>
    <row r="695" spans="1:21">
      <c r="A695">
        <v>44844</v>
      </c>
      <c r="B695" t="s">
        <v>72</v>
      </c>
      <c r="C695" t="s">
        <v>73</v>
      </c>
      <c r="D695" t="s">
        <v>163</v>
      </c>
      <c r="E695" t="s">
        <v>171</v>
      </c>
      <c r="F695" t="s">
        <v>1512</v>
      </c>
      <c r="G695">
        <v>0.38124999999999998</v>
      </c>
      <c r="H695" t="s">
        <v>1511</v>
      </c>
      <c r="I695">
        <v>0.83750000000000002</v>
      </c>
      <c r="J695">
        <v>0</v>
      </c>
      <c r="K695">
        <v>0</v>
      </c>
      <c r="L695">
        <v>150</v>
      </c>
      <c r="M695">
        <v>0</v>
      </c>
      <c r="N695">
        <v>0</v>
      </c>
      <c r="O695">
        <v>0</v>
      </c>
      <c r="P695" t="s">
        <v>235</v>
      </c>
      <c r="S695">
        <v>10.95</v>
      </c>
      <c r="T695">
        <v>125</v>
      </c>
      <c r="U695">
        <v>275</v>
      </c>
    </row>
    <row r="696" spans="1:21">
      <c r="A696">
        <v>44845</v>
      </c>
      <c r="B696" t="s">
        <v>72</v>
      </c>
      <c r="C696" t="s">
        <v>73</v>
      </c>
      <c r="D696" t="s">
        <v>163</v>
      </c>
      <c r="E696" t="s">
        <v>171</v>
      </c>
      <c r="F696" t="s">
        <v>1511</v>
      </c>
      <c r="G696">
        <v>0.34513888888888888</v>
      </c>
      <c r="H696" t="s">
        <v>1512</v>
      </c>
      <c r="I696">
        <v>0.88958333333333328</v>
      </c>
      <c r="J696">
        <v>0</v>
      </c>
      <c r="K696">
        <v>0</v>
      </c>
      <c r="L696">
        <v>150</v>
      </c>
      <c r="M696">
        <v>0</v>
      </c>
      <c r="N696">
        <v>0</v>
      </c>
      <c r="O696">
        <v>0</v>
      </c>
      <c r="P696" t="s">
        <v>235</v>
      </c>
      <c r="S696">
        <v>13.066666666666666</v>
      </c>
      <c r="T696">
        <v>125</v>
      </c>
      <c r="U696">
        <v>275</v>
      </c>
    </row>
    <row r="697" spans="1:21">
      <c r="A697">
        <v>44846</v>
      </c>
      <c r="B697" t="s">
        <v>72</v>
      </c>
      <c r="C697" t="s">
        <v>73</v>
      </c>
      <c r="D697" t="s">
        <v>163</v>
      </c>
      <c r="E697" t="s">
        <v>171</v>
      </c>
      <c r="F697" t="s">
        <v>1512</v>
      </c>
      <c r="G697">
        <v>0.3923611111111111</v>
      </c>
      <c r="H697" t="s">
        <v>1512</v>
      </c>
      <c r="I697">
        <v>0.7680555555555556</v>
      </c>
      <c r="J697">
        <v>0</v>
      </c>
      <c r="K697">
        <v>0</v>
      </c>
      <c r="L697">
        <v>150</v>
      </c>
      <c r="M697">
        <v>0</v>
      </c>
      <c r="N697">
        <v>0</v>
      </c>
      <c r="O697">
        <v>0</v>
      </c>
      <c r="P697" t="s">
        <v>235</v>
      </c>
      <c r="S697">
        <v>9.0166666666666657</v>
      </c>
      <c r="T697">
        <v>125</v>
      </c>
      <c r="U697">
        <v>275</v>
      </c>
    </row>
    <row r="698" spans="1:21">
      <c r="A698">
        <v>44847</v>
      </c>
      <c r="B698" t="s">
        <v>72</v>
      </c>
      <c r="C698" t="s">
        <v>73</v>
      </c>
      <c r="D698" t="s">
        <v>163</v>
      </c>
      <c r="E698" t="s">
        <v>171</v>
      </c>
      <c r="F698" t="s">
        <v>1515</v>
      </c>
      <c r="G698">
        <v>0.40208333333333335</v>
      </c>
      <c r="H698" t="s">
        <v>1512</v>
      </c>
      <c r="I698">
        <v>0.80277777777777781</v>
      </c>
      <c r="J698">
        <v>0</v>
      </c>
      <c r="K698">
        <v>0</v>
      </c>
      <c r="L698">
        <v>150</v>
      </c>
      <c r="M698">
        <v>0</v>
      </c>
      <c r="N698">
        <v>0</v>
      </c>
      <c r="O698">
        <v>0</v>
      </c>
      <c r="P698" t="s">
        <v>235</v>
      </c>
      <c r="S698">
        <v>9.6166666666666654</v>
      </c>
      <c r="T698">
        <v>125</v>
      </c>
      <c r="U698">
        <v>275</v>
      </c>
    </row>
    <row r="699" spans="1:21">
      <c r="A699">
        <v>44849</v>
      </c>
      <c r="B699" t="s">
        <v>72</v>
      </c>
      <c r="C699" t="s">
        <v>73</v>
      </c>
      <c r="D699" t="s">
        <v>163</v>
      </c>
      <c r="E699" t="s">
        <v>171</v>
      </c>
      <c r="F699" t="s">
        <v>1512</v>
      </c>
      <c r="G699">
        <v>0.37986111111111109</v>
      </c>
      <c r="H699" t="s">
        <v>1511</v>
      </c>
      <c r="I699">
        <v>0.83333333333333337</v>
      </c>
      <c r="J699">
        <v>3400</v>
      </c>
      <c r="K699">
        <v>0</v>
      </c>
      <c r="L699">
        <v>150</v>
      </c>
      <c r="M699">
        <v>0</v>
      </c>
      <c r="N699">
        <v>100</v>
      </c>
      <c r="O699">
        <v>0</v>
      </c>
      <c r="P699" t="s">
        <v>235</v>
      </c>
      <c r="S699">
        <v>10.883333333333333</v>
      </c>
      <c r="T699">
        <v>125</v>
      </c>
      <c r="U699">
        <v>3775</v>
      </c>
    </row>
    <row r="700" spans="1:21">
      <c r="A700">
        <v>44845</v>
      </c>
      <c r="B700" t="s">
        <v>885</v>
      </c>
      <c r="C700" t="s">
        <v>886</v>
      </c>
      <c r="D700" t="s">
        <v>163</v>
      </c>
      <c r="E700" t="s">
        <v>167</v>
      </c>
      <c r="F700" t="s">
        <v>1516</v>
      </c>
      <c r="G700">
        <v>0.37847222222222221</v>
      </c>
      <c r="H700" t="s">
        <v>1517</v>
      </c>
      <c r="I700">
        <v>0.82986111111111116</v>
      </c>
      <c r="J700">
        <v>150</v>
      </c>
      <c r="K700">
        <v>0</v>
      </c>
      <c r="L700">
        <v>0</v>
      </c>
      <c r="M700">
        <v>200</v>
      </c>
      <c r="N700">
        <v>0</v>
      </c>
      <c r="O700">
        <v>0</v>
      </c>
      <c r="P700" t="s">
        <v>237</v>
      </c>
      <c r="S700">
        <v>10.833333333333332</v>
      </c>
      <c r="T700">
        <v>200</v>
      </c>
      <c r="U700">
        <v>350</v>
      </c>
    </row>
    <row r="701" spans="1:21">
      <c r="A701">
        <v>44846</v>
      </c>
      <c r="B701" t="s">
        <v>885</v>
      </c>
      <c r="C701" t="s">
        <v>886</v>
      </c>
      <c r="D701" t="s">
        <v>163</v>
      </c>
      <c r="E701" t="s">
        <v>167</v>
      </c>
      <c r="F701" t="s">
        <v>1518</v>
      </c>
      <c r="G701">
        <v>0.33680555555555558</v>
      </c>
      <c r="H701" t="s">
        <v>1519</v>
      </c>
      <c r="I701">
        <v>0.85833333333333328</v>
      </c>
      <c r="J701">
        <v>160</v>
      </c>
      <c r="K701">
        <v>0</v>
      </c>
      <c r="L701">
        <v>0</v>
      </c>
      <c r="M701">
        <v>200</v>
      </c>
      <c r="N701">
        <v>0</v>
      </c>
      <c r="O701">
        <v>0</v>
      </c>
      <c r="P701" t="s">
        <v>237</v>
      </c>
      <c r="S701">
        <v>12.516666666666667</v>
      </c>
      <c r="T701">
        <v>200</v>
      </c>
      <c r="U701">
        <v>360</v>
      </c>
    </row>
    <row r="702" spans="1:21">
      <c r="A702">
        <v>44847</v>
      </c>
      <c r="B702" t="s">
        <v>885</v>
      </c>
      <c r="C702" t="s">
        <v>886</v>
      </c>
      <c r="D702" t="s">
        <v>163</v>
      </c>
      <c r="E702" t="s">
        <v>167</v>
      </c>
      <c r="F702" t="s">
        <v>1520</v>
      </c>
      <c r="G702">
        <v>0.34791666666666665</v>
      </c>
      <c r="H702" t="s">
        <v>1519</v>
      </c>
      <c r="I702">
        <v>0.83194444444444449</v>
      </c>
      <c r="J702">
        <v>160</v>
      </c>
      <c r="K702">
        <v>0</v>
      </c>
      <c r="L702">
        <v>200</v>
      </c>
      <c r="M702">
        <v>0</v>
      </c>
      <c r="N702">
        <v>0</v>
      </c>
      <c r="O702">
        <v>0</v>
      </c>
      <c r="P702" t="s">
        <v>237</v>
      </c>
      <c r="S702">
        <v>11.616666666666665</v>
      </c>
      <c r="T702">
        <v>200</v>
      </c>
      <c r="U702">
        <v>560</v>
      </c>
    </row>
    <row r="703" spans="1:21">
      <c r="A703">
        <v>44848</v>
      </c>
      <c r="B703" t="s">
        <v>885</v>
      </c>
      <c r="C703" t="s">
        <v>886</v>
      </c>
      <c r="D703" t="s">
        <v>163</v>
      </c>
      <c r="E703" t="s">
        <v>167</v>
      </c>
      <c r="F703" t="s">
        <v>1521</v>
      </c>
      <c r="G703">
        <v>0.3576388888888889</v>
      </c>
      <c r="H703" t="s">
        <v>1522</v>
      </c>
      <c r="I703">
        <v>0.8208333333333333</v>
      </c>
      <c r="J703">
        <v>0</v>
      </c>
      <c r="K703">
        <v>0</v>
      </c>
      <c r="L703">
        <v>200</v>
      </c>
      <c r="M703">
        <v>0</v>
      </c>
      <c r="N703">
        <v>0</v>
      </c>
      <c r="O703">
        <v>0</v>
      </c>
      <c r="P703" t="s">
        <v>237</v>
      </c>
      <c r="S703">
        <v>11.116666666666665</v>
      </c>
      <c r="T703">
        <v>200</v>
      </c>
      <c r="U703">
        <v>400</v>
      </c>
    </row>
    <row r="704" spans="1:21">
      <c r="A704">
        <v>44849</v>
      </c>
      <c r="B704" t="s">
        <v>885</v>
      </c>
      <c r="C704" t="s">
        <v>886</v>
      </c>
      <c r="D704" t="s">
        <v>163</v>
      </c>
      <c r="E704" t="s">
        <v>167</v>
      </c>
      <c r="F704" t="s">
        <v>1521</v>
      </c>
      <c r="G704">
        <v>0.33333333333333331</v>
      </c>
      <c r="H704" t="s">
        <v>1523</v>
      </c>
      <c r="I704">
        <v>0.90069444444444446</v>
      </c>
      <c r="J704">
        <v>106</v>
      </c>
      <c r="K704">
        <v>0</v>
      </c>
      <c r="L704">
        <v>0</v>
      </c>
      <c r="M704">
        <v>200</v>
      </c>
      <c r="N704">
        <v>0</v>
      </c>
      <c r="O704">
        <v>0</v>
      </c>
      <c r="P704" t="s">
        <v>237</v>
      </c>
      <c r="S704">
        <v>13.616666666666664</v>
      </c>
      <c r="T704">
        <v>200</v>
      </c>
      <c r="U704">
        <v>306</v>
      </c>
    </row>
    <row r="705" spans="1:21">
      <c r="A705">
        <v>44835</v>
      </c>
      <c r="B705" t="s">
        <v>892</v>
      </c>
      <c r="C705" t="s">
        <v>893</v>
      </c>
      <c r="D705" t="s">
        <v>227</v>
      </c>
      <c r="E705" t="s">
        <v>194</v>
      </c>
      <c r="F705" t="s">
        <v>1524</v>
      </c>
      <c r="G705">
        <v>0.3923611111111111</v>
      </c>
      <c r="H705" t="s">
        <v>1525</v>
      </c>
      <c r="I705">
        <v>0.78333333333333333</v>
      </c>
      <c r="J705">
        <v>3728.56</v>
      </c>
      <c r="K705">
        <v>0</v>
      </c>
      <c r="L705">
        <v>300</v>
      </c>
      <c r="M705">
        <v>0</v>
      </c>
      <c r="N705">
        <v>0</v>
      </c>
      <c r="O705">
        <v>0</v>
      </c>
      <c r="P705" t="s">
        <v>1526</v>
      </c>
      <c r="S705">
        <v>9.3833333333333329</v>
      </c>
      <c r="T705">
        <v>300</v>
      </c>
      <c r="U705">
        <v>4328.5599999999995</v>
      </c>
    </row>
    <row r="706" spans="1:21">
      <c r="A706">
        <v>44837</v>
      </c>
      <c r="B706" t="s">
        <v>892</v>
      </c>
      <c r="C706" t="s">
        <v>893</v>
      </c>
      <c r="D706" t="s">
        <v>227</v>
      </c>
      <c r="E706" t="s">
        <v>194</v>
      </c>
      <c r="F706" t="s">
        <v>1525</v>
      </c>
      <c r="G706">
        <v>0.33888888888888891</v>
      </c>
      <c r="H706" t="s">
        <v>1527</v>
      </c>
      <c r="I706">
        <v>0.82291666666666663</v>
      </c>
      <c r="J706">
        <v>75</v>
      </c>
      <c r="K706">
        <v>0</v>
      </c>
      <c r="L706">
        <v>300</v>
      </c>
      <c r="M706">
        <v>0</v>
      </c>
      <c r="N706">
        <v>0</v>
      </c>
      <c r="O706">
        <v>0</v>
      </c>
      <c r="P706" t="s">
        <v>1526</v>
      </c>
      <c r="S706">
        <v>11.616666666666667</v>
      </c>
      <c r="T706">
        <v>300</v>
      </c>
      <c r="U706">
        <v>675</v>
      </c>
    </row>
    <row r="707" spans="1:21">
      <c r="A707">
        <v>44838</v>
      </c>
      <c r="B707" t="s">
        <v>892</v>
      </c>
      <c r="C707" t="s">
        <v>893</v>
      </c>
      <c r="D707" t="s">
        <v>227</v>
      </c>
      <c r="E707" t="s">
        <v>194</v>
      </c>
      <c r="F707" t="s">
        <v>1525</v>
      </c>
      <c r="G707">
        <v>0.3347222222222222</v>
      </c>
      <c r="H707" t="s">
        <v>1370</v>
      </c>
      <c r="I707">
        <v>0.77083333333333337</v>
      </c>
      <c r="J707">
        <v>100</v>
      </c>
      <c r="K707">
        <v>0</v>
      </c>
      <c r="L707">
        <v>0</v>
      </c>
      <c r="M707">
        <v>0</v>
      </c>
      <c r="N707">
        <v>0</v>
      </c>
      <c r="O707">
        <v>0</v>
      </c>
      <c r="P707" t="s">
        <v>1526</v>
      </c>
      <c r="S707">
        <v>10.466666666666665</v>
      </c>
      <c r="T707">
        <v>300</v>
      </c>
      <c r="U707">
        <v>400</v>
      </c>
    </row>
    <row r="708" spans="1:21">
      <c r="A708">
        <v>44839</v>
      </c>
      <c r="B708" t="s">
        <v>892</v>
      </c>
      <c r="C708" t="s">
        <v>893</v>
      </c>
      <c r="D708" t="s">
        <v>227</v>
      </c>
      <c r="E708" t="s">
        <v>194</v>
      </c>
      <c r="F708" t="s">
        <v>1525</v>
      </c>
      <c r="G708">
        <v>0.34861111111111109</v>
      </c>
      <c r="H708" t="s">
        <v>1528</v>
      </c>
      <c r="I708">
        <v>0.45208333333333334</v>
      </c>
      <c r="J708">
        <v>0</v>
      </c>
      <c r="K708">
        <v>0</v>
      </c>
      <c r="L708">
        <v>300</v>
      </c>
      <c r="M708">
        <v>0</v>
      </c>
      <c r="N708">
        <v>0</v>
      </c>
      <c r="O708">
        <v>0</v>
      </c>
      <c r="P708" t="s">
        <v>1526</v>
      </c>
      <c r="S708">
        <v>2.4833333333333338</v>
      </c>
      <c r="T708">
        <v>0</v>
      </c>
      <c r="U708">
        <v>300</v>
      </c>
    </row>
    <row r="709" spans="1:21">
      <c r="A709">
        <v>44840</v>
      </c>
      <c r="B709" t="s">
        <v>892</v>
      </c>
      <c r="C709" t="s">
        <v>893</v>
      </c>
      <c r="D709" t="s">
        <v>227</v>
      </c>
      <c r="E709" t="s">
        <v>194</v>
      </c>
      <c r="F709" t="s">
        <v>1525</v>
      </c>
      <c r="G709">
        <v>0.35208333333333336</v>
      </c>
      <c r="H709" t="s">
        <v>1527</v>
      </c>
      <c r="I709">
        <v>0.80208333333333337</v>
      </c>
      <c r="J709">
        <v>165</v>
      </c>
      <c r="K709">
        <v>0</v>
      </c>
      <c r="L709">
        <v>300</v>
      </c>
      <c r="M709">
        <v>0</v>
      </c>
      <c r="N709">
        <v>0</v>
      </c>
      <c r="O709">
        <v>0</v>
      </c>
      <c r="P709" t="s">
        <v>1526</v>
      </c>
      <c r="S709">
        <v>10.799999999999999</v>
      </c>
      <c r="T709">
        <v>300</v>
      </c>
      <c r="U709">
        <v>765</v>
      </c>
    </row>
    <row r="710" spans="1:21">
      <c r="A710">
        <v>44841</v>
      </c>
      <c r="B710" t="s">
        <v>892</v>
      </c>
      <c r="C710" t="s">
        <v>893</v>
      </c>
      <c r="D710" t="s">
        <v>227</v>
      </c>
      <c r="E710" t="s">
        <v>194</v>
      </c>
      <c r="F710" t="s">
        <v>1529</v>
      </c>
      <c r="G710">
        <v>0.3659722222222222</v>
      </c>
      <c r="H710" t="s">
        <v>1529</v>
      </c>
      <c r="I710">
        <v>0.74097222222222225</v>
      </c>
      <c r="J710">
        <v>4183.92</v>
      </c>
      <c r="K710">
        <v>0</v>
      </c>
      <c r="L710">
        <v>300</v>
      </c>
      <c r="M710">
        <v>0</v>
      </c>
      <c r="N710">
        <v>0</v>
      </c>
      <c r="O710">
        <v>0</v>
      </c>
      <c r="P710" t="s">
        <v>1526</v>
      </c>
      <c r="S710">
        <v>8.9999999999999982</v>
      </c>
      <c r="T710">
        <v>300</v>
      </c>
      <c r="U710">
        <v>4783.92</v>
      </c>
    </row>
    <row r="711" spans="1:21">
      <c r="A711">
        <v>44842</v>
      </c>
      <c r="B711" t="s">
        <v>892</v>
      </c>
      <c r="C711" t="s">
        <v>893</v>
      </c>
      <c r="D711" t="s">
        <v>227</v>
      </c>
      <c r="E711" t="s">
        <v>194</v>
      </c>
      <c r="F711" t="s">
        <v>1525</v>
      </c>
      <c r="G711">
        <v>0.34791666666666665</v>
      </c>
      <c r="H711" t="s">
        <v>1524</v>
      </c>
      <c r="I711">
        <v>0.7993055555555556</v>
      </c>
      <c r="J711">
        <v>0</v>
      </c>
      <c r="K711">
        <v>0</v>
      </c>
      <c r="L711">
        <v>300</v>
      </c>
      <c r="M711">
        <v>0</v>
      </c>
      <c r="N711">
        <v>0</v>
      </c>
      <c r="O711">
        <v>0</v>
      </c>
      <c r="P711" t="s">
        <v>1526</v>
      </c>
      <c r="S711">
        <v>10.833333333333332</v>
      </c>
      <c r="T711">
        <v>300</v>
      </c>
      <c r="U711">
        <v>600</v>
      </c>
    </row>
    <row r="712" spans="1:21">
      <c r="A712">
        <v>44843</v>
      </c>
      <c r="B712" t="s">
        <v>892</v>
      </c>
      <c r="C712" t="s">
        <v>893</v>
      </c>
      <c r="D712" t="s">
        <v>227</v>
      </c>
      <c r="E712" t="s">
        <v>194</v>
      </c>
      <c r="F712" t="s">
        <v>1525</v>
      </c>
      <c r="G712">
        <v>0.33819444444444446</v>
      </c>
      <c r="H712" t="s">
        <v>1530</v>
      </c>
      <c r="I712">
        <v>0.76180555555555551</v>
      </c>
      <c r="J712">
        <v>0</v>
      </c>
      <c r="K712">
        <v>0</v>
      </c>
      <c r="L712">
        <v>300</v>
      </c>
      <c r="M712">
        <v>0</v>
      </c>
      <c r="N712">
        <v>0</v>
      </c>
      <c r="O712">
        <v>0</v>
      </c>
      <c r="P712" t="s">
        <v>1526</v>
      </c>
      <c r="S712">
        <v>10.166666666666666</v>
      </c>
      <c r="T712">
        <v>300</v>
      </c>
      <c r="U712">
        <v>600</v>
      </c>
    </row>
    <row r="713" spans="1:21">
      <c r="A713">
        <v>44844</v>
      </c>
      <c r="B713" t="s">
        <v>892</v>
      </c>
      <c r="C713" t="s">
        <v>893</v>
      </c>
      <c r="D713" t="s">
        <v>227</v>
      </c>
      <c r="E713" t="s">
        <v>194</v>
      </c>
      <c r="F713" t="s">
        <v>1524</v>
      </c>
      <c r="G713">
        <v>0.36666666666666664</v>
      </c>
      <c r="H713" t="s">
        <v>1524</v>
      </c>
      <c r="I713">
        <v>0.7895833333333333</v>
      </c>
      <c r="J713">
        <v>0</v>
      </c>
      <c r="K713">
        <v>0</v>
      </c>
      <c r="L713">
        <v>300</v>
      </c>
      <c r="M713">
        <v>0</v>
      </c>
      <c r="N713">
        <v>0</v>
      </c>
      <c r="O713">
        <v>0</v>
      </c>
      <c r="P713" t="s">
        <v>1526</v>
      </c>
      <c r="S713">
        <v>10.15</v>
      </c>
      <c r="T713">
        <v>300</v>
      </c>
      <c r="U713">
        <v>600</v>
      </c>
    </row>
    <row r="714" spans="1:21">
      <c r="A714">
        <v>44845</v>
      </c>
      <c r="B714" t="s">
        <v>892</v>
      </c>
      <c r="C714" t="s">
        <v>893</v>
      </c>
      <c r="D714" t="s">
        <v>227</v>
      </c>
      <c r="E714" t="s">
        <v>194</v>
      </c>
      <c r="F714" t="s">
        <v>1531</v>
      </c>
      <c r="G714">
        <v>0.27777777777777779</v>
      </c>
      <c r="H714" t="s">
        <v>1058</v>
      </c>
      <c r="I714">
        <v>0.8666666666666667</v>
      </c>
      <c r="J714">
        <v>250</v>
      </c>
      <c r="K714">
        <v>0</v>
      </c>
      <c r="L714">
        <v>0</v>
      </c>
      <c r="M714">
        <v>0</v>
      </c>
      <c r="N714">
        <v>0</v>
      </c>
      <c r="O714">
        <v>0</v>
      </c>
      <c r="P714" t="s">
        <v>1526</v>
      </c>
      <c r="S714">
        <v>14.133333333333331</v>
      </c>
      <c r="T714">
        <v>300</v>
      </c>
      <c r="U714">
        <v>550</v>
      </c>
    </row>
    <row r="715" spans="1:21">
      <c r="A715">
        <v>44846</v>
      </c>
      <c r="B715" t="s">
        <v>892</v>
      </c>
      <c r="C715" t="s">
        <v>893</v>
      </c>
      <c r="D715" t="s">
        <v>227</v>
      </c>
      <c r="E715" t="s">
        <v>194</v>
      </c>
      <c r="F715" t="s">
        <v>1058</v>
      </c>
      <c r="G715">
        <v>0.32777777777777778</v>
      </c>
      <c r="H715" t="s">
        <v>1532</v>
      </c>
      <c r="I715">
        <v>0.76180555555555551</v>
      </c>
      <c r="J715">
        <v>4617.1000000000004</v>
      </c>
      <c r="K715">
        <v>4000</v>
      </c>
      <c r="L715">
        <v>300</v>
      </c>
      <c r="M715">
        <v>0</v>
      </c>
      <c r="N715">
        <v>0</v>
      </c>
      <c r="O715">
        <v>0</v>
      </c>
      <c r="P715" t="s">
        <v>1526</v>
      </c>
      <c r="S715">
        <v>10.416666666666666</v>
      </c>
      <c r="T715">
        <v>0</v>
      </c>
      <c r="U715">
        <v>8917.1</v>
      </c>
    </row>
    <row r="716" spans="1:21">
      <c r="A716">
        <v>44847</v>
      </c>
      <c r="B716" t="s">
        <v>892</v>
      </c>
      <c r="C716" t="s">
        <v>893</v>
      </c>
      <c r="D716" t="s">
        <v>227</v>
      </c>
      <c r="E716" t="s">
        <v>194</v>
      </c>
      <c r="F716" t="s">
        <v>1524</v>
      </c>
      <c r="G716">
        <v>0.3347222222222222</v>
      </c>
      <c r="H716" t="s">
        <v>1525</v>
      </c>
      <c r="I716">
        <v>0.75486111111111109</v>
      </c>
      <c r="J716">
        <v>130</v>
      </c>
      <c r="K716">
        <v>0</v>
      </c>
      <c r="L716">
        <v>300</v>
      </c>
      <c r="M716">
        <v>0</v>
      </c>
      <c r="N716">
        <v>0</v>
      </c>
      <c r="O716">
        <v>0</v>
      </c>
      <c r="P716" t="s">
        <v>1526</v>
      </c>
      <c r="S716">
        <v>10.083333333333334</v>
      </c>
      <c r="T716">
        <v>300</v>
      </c>
      <c r="U716">
        <v>730</v>
      </c>
    </row>
    <row r="717" spans="1:21">
      <c r="A717">
        <v>44848</v>
      </c>
      <c r="B717" t="s">
        <v>892</v>
      </c>
      <c r="C717" t="s">
        <v>893</v>
      </c>
      <c r="D717" t="s">
        <v>227</v>
      </c>
      <c r="E717" t="s">
        <v>194</v>
      </c>
      <c r="F717" t="s">
        <v>1530</v>
      </c>
      <c r="G717">
        <v>0.35486111111111113</v>
      </c>
      <c r="H717" t="s">
        <v>1524</v>
      </c>
      <c r="I717">
        <v>0.78611111111111109</v>
      </c>
      <c r="J717">
        <v>0</v>
      </c>
      <c r="K717">
        <v>0</v>
      </c>
      <c r="L717">
        <v>300</v>
      </c>
      <c r="M717">
        <v>0</v>
      </c>
      <c r="N717">
        <v>0</v>
      </c>
      <c r="O717">
        <v>0</v>
      </c>
      <c r="P717" t="s">
        <v>1526</v>
      </c>
      <c r="S717">
        <v>10.350000000000001</v>
      </c>
      <c r="T717">
        <v>300</v>
      </c>
      <c r="U717">
        <v>600</v>
      </c>
    </row>
    <row r="718" spans="1:21">
      <c r="A718">
        <v>44849</v>
      </c>
      <c r="B718" t="s">
        <v>892</v>
      </c>
      <c r="C718" t="s">
        <v>893</v>
      </c>
      <c r="D718" t="s">
        <v>227</v>
      </c>
      <c r="E718" t="s">
        <v>194</v>
      </c>
      <c r="F718" t="s">
        <v>1530</v>
      </c>
      <c r="G718">
        <v>0.35347222222222224</v>
      </c>
      <c r="H718" t="s">
        <v>1525</v>
      </c>
      <c r="I718">
        <v>0.75069444444444444</v>
      </c>
      <c r="J718">
        <v>345</v>
      </c>
      <c r="K718">
        <v>0</v>
      </c>
      <c r="L718">
        <v>300</v>
      </c>
      <c r="M718">
        <v>0</v>
      </c>
      <c r="N718">
        <v>0</v>
      </c>
      <c r="O718">
        <v>0</v>
      </c>
      <c r="P718" t="s">
        <v>1526</v>
      </c>
      <c r="S718">
        <v>9.533333333333335</v>
      </c>
      <c r="T718">
        <v>300</v>
      </c>
      <c r="U718">
        <v>945</v>
      </c>
    </row>
    <row r="719" spans="1:21">
      <c r="A719">
        <v>44835</v>
      </c>
      <c r="B719" t="s">
        <v>37</v>
      </c>
      <c r="C719" t="s">
        <v>38</v>
      </c>
      <c r="D719" t="s">
        <v>163</v>
      </c>
      <c r="E719" t="s">
        <v>194</v>
      </c>
      <c r="F719" t="s">
        <v>1533</v>
      </c>
      <c r="G719">
        <v>0.30902777777777779</v>
      </c>
      <c r="H719" t="s">
        <v>1534</v>
      </c>
      <c r="I719">
        <v>0.6958333333333333</v>
      </c>
      <c r="J719">
        <v>0</v>
      </c>
      <c r="K719">
        <v>0</v>
      </c>
      <c r="L719">
        <v>0</v>
      </c>
      <c r="M719">
        <v>300</v>
      </c>
      <c r="N719">
        <v>0</v>
      </c>
      <c r="O719">
        <v>0</v>
      </c>
      <c r="P719" t="s">
        <v>200</v>
      </c>
      <c r="S719">
        <v>9.2833333333333314</v>
      </c>
      <c r="T719">
        <v>300</v>
      </c>
      <c r="U719">
        <v>300</v>
      </c>
    </row>
    <row r="720" spans="1:21">
      <c r="A720">
        <v>44837</v>
      </c>
      <c r="B720" t="s">
        <v>37</v>
      </c>
      <c r="C720" t="s">
        <v>38</v>
      </c>
      <c r="D720" t="s">
        <v>163</v>
      </c>
      <c r="E720" t="s">
        <v>194</v>
      </c>
      <c r="F720" t="s">
        <v>1533</v>
      </c>
      <c r="G720">
        <v>0.78125</v>
      </c>
      <c r="H720" t="s">
        <v>1533</v>
      </c>
      <c r="I720">
        <v>0.8618055555555556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 t="s">
        <v>200</v>
      </c>
      <c r="S720">
        <v>1.9333333333333318</v>
      </c>
      <c r="T720">
        <v>0</v>
      </c>
      <c r="U720">
        <v>0</v>
      </c>
    </row>
    <row r="721" spans="1:21">
      <c r="A721">
        <v>44838</v>
      </c>
      <c r="B721" t="s">
        <v>37</v>
      </c>
      <c r="C721" t="s">
        <v>38</v>
      </c>
      <c r="D721" t="s">
        <v>163</v>
      </c>
      <c r="E721" t="s">
        <v>194</v>
      </c>
      <c r="F721" t="s">
        <v>1535</v>
      </c>
      <c r="G721">
        <v>0.36666666666666664</v>
      </c>
      <c r="H721" t="s">
        <v>1535</v>
      </c>
      <c r="I721">
        <v>0.82013888888888886</v>
      </c>
      <c r="J721">
        <v>953.4</v>
      </c>
      <c r="K721">
        <v>0</v>
      </c>
      <c r="L721">
        <v>0</v>
      </c>
      <c r="M721">
        <v>150</v>
      </c>
      <c r="N721">
        <v>0</v>
      </c>
      <c r="O721">
        <v>0</v>
      </c>
      <c r="P721" t="s">
        <v>200</v>
      </c>
      <c r="S721">
        <v>10.883333333333333</v>
      </c>
      <c r="T721">
        <v>300</v>
      </c>
      <c r="U721">
        <v>1253.4000000000001</v>
      </c>
    </row>
    <row r="722" spans="1:21">
      <c r="A722">
        <v>44839</v>
      </c>
      <c r="B722" t="s">
        <v>37</v>
      </c>
      <c r="C722" t="s">
        <v>38</v>
      </c>
      <c r="D722" t="s">
        <v>163</v>
      </c>
      <c r="E722" t="s">
        <v>194</v>
      </c>
      <c r="F722" t="s">
        <v>1536</v>
      </c>
      <c r="G722">
        <v>0.36666666666666664</v>
      </c>
      <c r="H722" t="s">
        <v>1535</v>
      </c>
      <c r="I722">
        <v>0.27152777777777776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 t="s">
        <v>200</v>
      </c>
      <c r="S722">
        <v>21.716666666666669</v>
      </c>
      <c r="T722">
        <v>300</v>
      </c>
      <c r="U722">
        <v>300</v>
      </c>
    </row>
    <row r="723" spans="1:21">
      <c r="A723">
        <v>44840</v>
      </c>
      <c r="B723" t="s">
        <v>37</v>
      </c>
      <c r="C723" t="s">
        <v>38</v>
      </c>
      <c r="D723" t="s">
        <v>163</v>
      </c>
      <c r="E723" t="s">
        <v>194</v>
      </c>
      <c r="F723" t="s">
        <v>1535</v>
      </c>
      <c r="G723">
        <v>0.27152777777777776</v>
      </c>
      <c r="H723" t="s">
        <v>1535</v>
      </c>
      <c r="I723">
        <v>0.83680555555555558</v>
      </c>
      <c r="J723">
        <v>0</v>
      </c>
      <c r="K723">
        <v>0</v>
      </c>
      <c r="L723">
        <v>0</v>
      </c>
      <c r="M723">
        <v>300</v>
      </c>
      <c r="N723">
        <v>0</v>
      </c>
      <c r="O723">
        <v>0</v>
      </c>
      <c r="P723" t="s">
        <v>200</v>
      </c>
      <c r="S723">
        <v>13.566666666666666</v>
      </c>
      <c r="T723">
        <v>300</v>
      </c>
      <c r="U723">
        <v>300</v>
      </c>
    </row>
    <row r="724" spans="1:21">
      <c r="A724">
        <v>44841</v>
      </c>
      <c r="B724" t="s">
        <v>37</v>
      </c>
      <c r="C724" t="s">
        <v>38</v>
      </c>
      <c r="D724" t="s">
        <v>163</v>
      </c>
      <c r="E724" t="s">
        <v>194</v>
      </c>
      <c r="F724" t="s">
        <v>1535</v>
      </c>
      <c r="G724">
        <v>0.30972222222222223</v>
      </c>
      <c r="H724" t="s">
        <v>1535</v>
      </c>
      <c r="I724">
        <v>0.85</v>
      </c>
      <c r="J724">
        <v>1424.85</v>
      </c>
      <c r="K724">
        <v>0</v>
      </c>
      <c r="L724">
        <v>0</v>
      </c>
      <c r="M724">
        <v>300</v>
      </c>
      <c r="N724">
        <v>0</v>
      </c>
      <c r="O724">
        <v>0</v>
      </c>
      <c r="P724" t="s">
        <v>200</v>
      </c>
      <c r="S724">
        <v>12.966666666666665</v>
      </c>
      <c r="T724">
        <v>300</v>
      </c>
      <c r="U724">
        <v>1724.85</v>
      </c>
    </row>
    <row r="725" spans="1:21">
      <c r="A725">
        <v>44842</v>
      </c>
      <c r="B725" t="s">
        <v>37</v>
      </c>
      <c r="C725" t="s">
        <v>38</v>
      </c>
      <c r="D725" t="s">
        <v>163</v>
      </c>
      <c r="E725" t="s">
        <v>194</v>
      </c>
      <c r="F725" t="s">
        <v>1535</v>
      </c>
      <c r="G725">
        <v>0.38958333333333334</v>
      </c>
      <c r="H725" t="s">
        <v>1537</v>
      </c>
      <c r="I725">
        <v>0.86736111111111114</v>
      </c>
      <c r="J725">
        <v>0</v>
      </c>
      <c r="K725">
        <v>0</v>
      </c>
      <c r="L725">
        <v>0</v>
      </c>
      <c r="M725">
        <v>300</v>
      </c>
      <c r="N725">
        <v>0</v>
      </c>
      <c r="O725">
        <v>0</v>
      </c>
      <c r="P725" t="s">
        <v>200</v>
      </c>
      <c r="S725">
        <v>11.466666666666665</v>
      </c>
      <c r="T725">
        <v>300</v>
      </c>
      <c r="U725">
        <v>300</v>
      </c>
    </row>
    <row r="726" spans="1:21">
      <c r="A726">
        <v>44844</v>
      </c>
      <c r="B726" t="s">
        <v>37</v>
      </c>
      <c r="C726" t="s">
        <v>38</v>
      </c>
      <c r="D726" t="s">
        <v>163</v>
      </c>
      <c r="E726" t="s">
        <v>194</v>
      </c>
      <c r="F726" t="s">
        <v>1535</v>
      </c>
      <c r="G726">
        <v>0.32916666666666666</v>
      </c>
      <c r="H726" t="s">
        <v>1535</v>
      </c>
      <c r="I726">
        <v>0.85763888888888884</v>
      </c>
      <c r="J726">
        <v>1430.1</v>
      </c>
      <c r="K726">
        <v>0</v>
      </c>
      <c r="L726">
        <v>0</v>
      </c>
      <c r="M726">
        <v>300</v>
      </c>
      <c r="N726">
        <v>0</v>
      </c>
      <c r="O726">
        <v>0</v>
      </c>
      <c r="P726" t="s">
        <v>200</v>
      </c>
      <c r="S726">
        <v>12.683333333333334</v>
      </c>
      <c r="T726">
        <v>300</v>
      </c>
      <c r="U726">
        <v>1730.1</v>
      </c>
    </row>
    <row r="727" spans="1:21">
      <c r="A727">
        <v>44845</v>
      </c>
      <c r="B727" t="s">
        <v>37</v>
      </c>
      <c r="C727" t="s">
        <v>38</v>
      </c>
      <c r="D727" t="s">
        <v>163</v>
      </c>
      <c r="E727" t="s">
        <v>194</v>
      </c>
      <c r="F727" t="s">
        <v>1535</v>
      </c>
      <c r="G727">
        <v>0.34513888888888888</v>
      </c>
      <c r="H727" t="s">
        <v>1535</v>
      </c>
      <c r="I727">
        <v>0.89513888888888893</v>
      </c>
      <c r="J727">
        <v>1430.1</v>
      </c>
      <c r="K727">
        <v>0</v>
      </c>
      <c r="L727">
        <v>0</v>
      </c>
      <c r="M727">
        <v>300</v>
      </c>
      <c r="N727">
        <v>0</v>
      </c>
      <c r="O727">
        <v>0</v>
      </c>
      <c r="P727" t="s">
        <v>200</v>
      </c>
      <c r="S727">
        <v>13.2</v>
      </c>
      <c r="T727">
        <v>300</v>
      </c>
      <c r="U727">
        <v>1730.1</v>
      </c>
    </row>
    <row r="728" spans="1:21">
      <c r="A728">
        <v>44846</v>
      </c>
      <c r="B728" t="s">
        <v>37</v>
      </c>
      <c r="C728" t="s">
        <v>38</v>
      </c>
      <c r="D728" t="s">
        <v>163</v>
      </c>
      <c r="E728" t="s">
        <v>194</v>
      </c>
      <c r="F728" t="s">
        <v>1535</v>
      </c>
      <c r="G728">
        <v>0.375</v>
      </c>
      <c r="H728" t="s">
        <v>1538</v>
      </c>
      <c r="I728">
        <v>0.62361111111111112</v>
      </c>
      <c r="J728">
        <v>0</v>
      </c>
      <c r="K728">
        <v>0</v>
      </c>
      <c r="L728">
        <v>0</v>
      </c>
      <c r="M728">
        <v>300</v>
      </c>
      <c r="N728">
        <v>0</v>
      </c>
      <c r="O728">
        <v>0</v>
      </c>
      <c r="P728" t="s">
        <v>200</v>
      </c>
      <c r="S728">
        <v>5.9666666666666668</v>
      </c>
      <c r="T728">
        <v>150</v>
      </c>
      <c r="U728">
        <v>150</v>
      </c>
    </row>
    <row r="729" spans="1:21">
      <c r="A729">
        <v>44847</v>
      </c>
      <c r="B729" t="s">
        <v>37</v>
      </c>
      <c r="C729" t="s">
        <v>38</v>
      </c>
      <c r="D729" t="s">
        <v>163</v>
      </c>
      <c r="E729" t="s">
        <v>194</v>
      </c>
      <c r="F729" t="s">
        <v>1535</v>
      </c>
      <c r="G729">
        <v>0.3263888888888889</v>
      </c>
      <c r="H729" t="s">
        <v>1535</v>
      </c>
      <c r="I729">
        <v>0.84722222222222221</v>
      </c>
      <c r="J729">
        <v>1424.85</v>
      </c>
      <c r="K729">
        <v>0</v>
      </c>
      <c r="L729">
        <v>0</v>
      </c>
      <c r="M729">
        <v>300</v>
      </c>
      <c r="N729">
        <v>0</v>
      </c>
      <c r="O729">
        <v>0</v>
      </c>
      <c r="P729" t="s">
        <v>200</v>
      </c>
      <c r="S729">
        <v>12.499999999999998</v>
      </c>
      <c r="T729">
        <v>300</v>
      </c>
      <c r="U729">
        <v>1724.85</v>
      </c>
    </row>
    <row r="730" spans="1:21">
      <c r="A730">
        <v>44848</v>
      </c>
      <c r="B730" t="s">
        <v>37</v>
      </c>
      <c r="C730" t="s">
        <v>38</v>
      </c>
      <c r="D730" t="s">
        <v>163</v>
      </c>
      <c r="E730" t="s">
        <v>194</v>
      </c>
      <c r="F730" t="s">
        <v>1535</v>
      </c>
      <c r="G730">
        <v>0.34791666666666665</v>
      </c>
      <c r="H730" t="s">
        <v>1535</v>
      </c>
      <c r="I730">
        <v>0.88541666666666663</v>
      </c>
      <c r="J730">
        <v>0</v>
      </c>
      <c r="K730">
        <v>0</v>
      </c>
      <c r="L730">
        <v>0</v>
      </c>
      <c r="M730">
        <v>300</v>
      </c>
      <c r="N730">
        <v>0</v>
      </c>
      <c r="O730">
        <v>0</v>
      </c>
      <c r="P730" t="s">
        <v>200</v>
      </c>
      <c r="S730">
        <v>12.899999999999999</v>
      </c>
      <c r="T730">
        <v>300</v>
      </c>
      <c r="U730">
        <v>300</v>
      </c>
    </row>
    <row r="731" spans="1:21">
      <c r="A731">
        <v>44849</v>
      </c>
      <c r="B731" t="s">
        <v>37</v>
      </c>
      <c r="C731" t="s">
        <v>38</v>
      </c>
      <c r="D731" t="s">
        <v>163</v>
      </c>
      <c r="E731" t="s">
        <v>194</v>
      </c>
      <c r="F731" t="s">
        <v>1535</v>
      </c>
      <c r="G731">
        <v>0.34305555555555556</v>
      </c>
      <c r="H731" t="s">
        <v>1535</v>
      </c>
      <c r="I731">
        <v>0.88194444444444442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 t="s">
        <v>200</v>
      </c>
      <c r="S731">
        <v>12.933333333333334</v>
      </c>
      <c r="T731">
        <v>300</v>
      </c>
      <c r="U731">
        <v>300</v>
      </c>
    </row>
    <row r="732" spans="1:21">
      <c r="A732">
        <v>44835</v>
      </c>
      <c r="B732" t="s">
        <v>920</v>
      </c>
      <c r="C732" t="s">
        <v>921</v>
      </c>
      <c r="D732" t="s">
        <v>227</v>
      </c>
      <c r="E732" t="s">
        <v>227</v>
      </c>
      <c r="F732" t="s">
        <v>1539</v>
      </c>
      <c r="G732">
        <v>0.41666666666666669</v>
      </c>
      <c r="H732" t="s">
        <v>1540</v>
      </c>
      <c r="I732">
        <v>0.77708333333333335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 t="s">
        <v>1541</v>
      </c>
      <c r="S732">
        <v>8.6500000000000021</v>
      </c>
      <c r="U732">
        <v>0</v>
      </c>
    </row>
    <row r="733" spans="1:21">
      <c r="A733">
        <v>44841</v>
      </c>
      <c r="B733" t="s">
        <v>920</v>
      </c>
      <c r="C733" t="s">
        <v>921</v>
      </c>
      <c r="D733" t="s">
        <v>227</v>
      </c>
      <c r="E733" t="s">
        <v>227</v>
      </c>
      <c r="F733" t="s">
        <v>1542</v>
      </c>
      <c r="G733">
        <v>0.41319444444444442</v>
      </c>
      <c r="H733" t="s">
        <v>1543</v>
      </c>
      <c r="I733">
        <v>0.75555555555555554</v>
      </c>
      <c r="J733">
        <v>300</v>
      </c>
      <c r="K733">
        <v>0</v>
      </c>
      <c r="L733">
        <v>0</v>
      </c>
      <c r="M733">
        <v>0</v>
      </c>
      <c r="N733">
        <v>0</v>
      </c>
      <c r="O733">
        <v>0</v>
      </c>
      <c r="P733" t="s">
        <v>1541</v>
      </c>
      <c r="S733">
        <v>8.2166666666666668</v>
      </c>
      <c r="U733">
        <v>300</v>
      </c>
    </row>
    <row r="734" spans="1:21">
      <c r="A734">
        <v>44842</v>
      </c>
      <c r="B734" t="s">
        <v>920</v>
      </c>
      <c r="C734" t="s">
        <v>921</v>
      </c>
      <c r="D734" t="s">
        <v>227</v>
      </c>
      <c r="E734" t="s">
        <v>227</v>
      </c>
      <c r="F734" t="s">
        <v>1539</v>
      </c>
      <c r="G734">
        <v>0.43472222222222223</v>
      </c>
      <c r="H734" t="s">
        <v>1544</v>
      </c>
      <c r="I734">
        <v>0.78333333333333333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 t="s">
        <v>1541</v>
      </c>
      <c r="S734">
        <v>8.3666666666666671</v>
      </c>
      <c r="U734">
        <v>0</v>
      </c>
    </row>
    <row r="735" spans="1:21">
      <c r="A735">
        <v>44844</v>
      </c>
      <c r="B735" t="s">
        <v>920</v>
      </c>
      <c r="C735" t="s">
        <v>921</v>
      </c>
      <c r="D735" t="s">
        <v>227</v>
      </c>
      <c r="E735" t="s">
        <v>227</v>
      </c>
      <c r="F735" t="s">
        <v>1539</v>
      </c>
      <c r="G735">
        <v>0.41388888888888886</v>
      </c>
      <c r="H735" t="s">
        <v>1545</v>
      </c>
      <c r="I735">
        <v>0.77152777777777781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 t="s">
        <v>1541</v>
      </c>
      <c r="S735">
        <v>8.5833333333333321</v>
      </c>
      <c r="U735">
        <v>0</v>
      </c>
    </row>
    <row r="736" spans="1:21">
      <c r="A736">
        <v>44845</v>
      </c>
      <c r="B736" t="s">
        <v>920</v>
      </c>
      <c r="C736" t="s">
        <v>921</v>
      </c>
      <c r="D736" t="s">
        <v>227</v>
      </c>
      <c r="E736" t="s">
        <v>227</v>
      </c>
      <c r="F736" t="s">
        <v>1539</v>
      </c>
      <c r="G736">
        <v>0.41319444444444442</v>
      </c>
      <c r="H736" t="s">
        <v>178</v>
      </c>
      <c r="I736">
        <v>0.76527777777777772</v>
      </c>
      <c r="J736">
        <v>300</v>
      </c>
      <c r="K736">
        <v>0</v>
      </c>
      <c r="L736">
        <v>0</v>
      </c>
      <c r="M736">
        <v>0</v>
      </c>
      <c r="N736">
        <v>0</v>
      </c>
      <c r="O736">
        <v>0</v>
      </c>
      <c r="P736" t="s">
        <v>1541</v>
      </c>
      <c r="S736">
        <v>8.4499999999999993</v>
      </c>
      <c r="U736">
        <v>300</v>
      </c>
    </row>
    <row r="737" spans="1:21">
      <c r="A737">
        <v>44846</v>
      </c>
      <c r="B737" t="s">
        <v>920</v>
      </c>
      <c r="C737" t="s">
        <v>921</v>
      </c>
      <c r="D737" t="s">
        <v>227</v>
      </c>
      <c r="E737" t="s">
        <v>227</v>
      </c>
      <c r="F737" t="s">
        <v>1543</v>
      </c>
      <c r="G737">
        <v>0.40902777777777777</v>
      </c>
      <c r="H737" t="s">
        <v>1544</v>
      </c>
      <c r="I737">
        <v>0.75486111111111109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 t="s">
        <v>1541</v>
      </c>
      <c r="S737">
        <v>8.3000000000000007</v>
      </c>
      <c r="U737">
        <v>0</v>
      </c>
    </row>
    <row r="738" spans="1:21">
      <c r="A738">
        <v>44847</v>
      </c>
      <c r="B738" t="s">
        <v>920</v>
      </c>
      <c r="C738" t="s">
        <v>921</v>
      </c>
      <c r="D738" t="s">
        <v>227</v>
      </c>
      <c r="E738" t="s">
        <v>227</v>
      </c>
      <c r="F738" t="s">
        <v>1539</v>
      </c>
      <c r="G738">
        <v>0.41458333333333336</v>
      </c>
      <c r="H738" t="s">
        <v>1540</v>
      </c>
      <c r="I738">
        <v>0.78819444444444442</v>
      </c>
      <c r="J738">
        <v>200</v>
      </c>
      <c r="K738">
        <v>0</v>
      </c>
      <c r="L738">
        <v>0</v>
      </c>
      <c r="M738">
        <v>0</v>
      </c>
      <c r="N738">
        <v>0</v>
      </c>
      <c r="O738">
        <v>0</v>
      </c>
      <c r="P738" t="s">
        <v>1541</v>
      </c>
      <c r="S738">
        <v>8.9666666666666668</v>
      </c>
      <c r="U738">
        <v>200</v>
      </c>
    </row>
    <row r="739" spans="1:21">
      <c r="A739">
        <v>44848</v>
      </c>
      <c r="B739" t="s">
        <v>920</v>
      </c>
      <c r="C739" t="s">
        <v>921</v>
      </c>
      <c r="D739" t="s">
        <v>227</v>
      </c>
      <c r="E739" t="s">
        <v>227</v>
      </c>
      <c r="F739" t="s">
        <v>1544</v>
      </c>
      <c r="G739">
        <v>0.42916666666666664</v>
      </c>
      <c r="H739" t="s">
        <v>1539</v>
      </c>
      <c r="I739">
        <v>0.78611111111111109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 t="s">
        <v>1541</v>
      </c>
      <c r="S739">
        <v>8.5666666666666664</v>
      </c>
      <c r="U739">
        <v>0</v>
      </c>
    </row>
    <row r="740" spans="1:21">
      <c r="A740">
        <v>44849</v>
      </c>
      <c r="B740" t="s">
        <v>920</v>
      </c>
      <c r="C740" t="s">
        <v>921</v>
      </c>
      <c r="D740" t="s">
        <v>227</v>
      </c>
      <c r="E740" t="s">
        <v>227</v>
      </c>
      <c r="F740" t="s">
        <v>1539</v>
      </c>
      <c r="G740">
        <v>0.42430555555555555</v>
      </c>
      <c r="H740" t="s">
        <v>1546</v>
      </c>
      <c r="I740">
        <v>0.75138888888888888</v>
      </c>
      <c r="J740">
        <v>300</v>
      </c>
      <c r="K740">
        <v>0</v>
      </c>
      <c r="L740">
        <v>0</v>
      </c>
      <c r="M740">
        <v>110</v>
      </c>
      <c r="N740">
        <v>0</v>
      </c>
      <c r="O740">
        <v>0</v>
      </c>
      <c r="P740" t="s">
        <v>1541</v>
      </c>
      <c r="S740">
        <v>7.85</v>
      </c>
      <c r="U740">
        <v>300</v>
      </c>
    </row>
    <row r="741" spans="1:21">
      <c r="A741">
        <v>44835</v>
      </c>
      <c r="B741" t="s">
        <v>76</v>
      </c>
      <c r="C741" t="s">
        <v>77</v>
      </c>
      <c r="D741" t="s">
        <v>163</v>
      </c>
      <c r="E741" t="s">
        <v>166</v>
      </c>
      <c r="F741" t="s">
        <v>1547</v>
      </c>
      <c r="G741">
        <v>5.5555555555555558E-3</v>
      </c>
      <c r="H741" t="s">
        <v>1548</v>
      </c>
      <c r="I741">
        <v>0.875</v>
      </c>
      <c r="J741">
        <v>0</v>
      </c>
      <c r="K741">
        <v>0</v>
      </c>
      <c r="L741">
        <v>250</v>
      </c>
      <c r="M741">
        <v>0</v>
      </c>
      <c r="N741">
        <v>0</v>
      </c>
      <c r="O741">
        <v>0</v>
      </c>
      <c r="P741" t="s">
        <v>236</v>
      </c>
      <c r="S741">
        <v>20.866666666666667</v>
      </c>
      <c r="T741">
        <v>250</v>
      </c>
      <c r="U741">
        <v>500</v>
      </c>
    </row>
    <row r="742" spans="1:21">
      <c r="A742">
        <v>44837</v>
      </c>
      <c r="B742" t="s">
        <v>76</v>
      </c>
      <c r="C742" t="s">
        <v>77</v>
      </c>
      <c r="D742" t="s">
        <v>163</v>
      </c>
      <c r="E742" t="s">
        <v>166</v>
      </c>
      <c r="F742" t="s">
        <v>1549</v>
      </c>
      <c r="G742">
        <v>0.44791666666666669</v>
      </c>
      <c r="H742" t="s">
        <v>1550</v>
      </c>
      <c r="I742">
        <v>0.89930555555555558</v>
      </c>
      <c r="J742">
        <v>0</v>
      </c>
      <c r="K742">
        <v>0</v>
      </c>
      <c r="L742">
        <v>250</v>
      </c>
      <c r="M742">
        <v>0</v>
      </c>
      <c r="N742">
        <v>0</v>
      </c>
      <c r="O742">
        <v>0</v>
      </c>
      <c r="P742" t="s">
        <v>236</v>
      </c>
      <c r="S742">
        <v>10.833333333333332</v>
      </c>
      <c r="T742">
        <v>250</v>
      </c>
      <c r="U742">
        <v>500</v>
      </c>
    </row>
    <row r="743" spans="1:21">
      <c r="A743">
        <v>44838</v>
      </c>
      <c r="B743" t="s">
        <v>76</v>
      </c>
      <c r="C743" t="s">
        <v>77</v>
      </c>
      <c r="D743" t="s">
        <v>163</v>
      </c>
      <c r="E743" t="s">
        <v>166</v>
      </c>
      <c r="F743" t="s">
        <v>1551</v>
      </c>
      <c r="G743">
        <v>0.37708333333333333</v>
      </c>
      <c r="H743" t="s">
        <v>1552</v>
      </c>
      <c r="I743">
        <v>0.83194444444444449</v>
      </c>
      <c r="J743">
        <v>0</v>
      </c>
      <c r="K743">
        <v>0</v>
      </c>
      <c r="L743">
        <v>250</v>
      </c>
      <c r="M743">
        <v>0</v>
      </c>
      <c r="N743">
        <v>0</v>
      </c>
      <c r="O743">
        <v>0</v>
      </c>
      <c r="P743" t="s">
        <v>236</v>
      </c>
      <c r="S743">
        <v>10.916666666666664</v>
      </c>
      <c r="T743">
        <v>250</v>
      </c>
      <c r="U743">
        <v>500</v>
      </c>
    </row>
    <row r="744" spans="1:21">
      <c r="A744">
        <v>44839</v>
      </c>
      <c r="B744" t="s">
        <v>76</v>
      </c>
      <c r="C744" t="s">
        <v>77</v>
      </c>
      <c r="D744" t="s">
        <v>163</v>
      </c>
      <c r="E744" t="s">
        <v>166</v>
      </c>
      <c r="F744" t="s">
        <v>1551</v>
      </c>
      <c r="G744">
        <v>0.46250000000000002</v>
      </c>
      <c r="H744" t="s">
        <v>1551</v>
      </c>
      <c r="I744">
        <v>0.89513888888888893</v>
      </c>
      <c r="J744">
        <v>0</v>
      </c>
      <c r="K744">
        <v>0</v>
      </c>
      <c r="L744">
        <v>250</v>
      </c>
      <c r="M744">
        <v>0</v>
      </c>
      <c r="N744">
        <v>0</v>
      </c>
      <c r="O744">
        <v>0</v>
      </c>
      <c r="P744" t="s">
        <v>236</v>
      </c>
      <c r="S744">
        <v>10.383333333333333</v>
      </c>
      <c r="T744">
        <v>250</v>
      </c>
      <c r="U744">
        <v>500</v>
      </c>
    </row>
    <row r="745" spans="1:21">
      <c r="A745">
        <v>44840</v>
      </c>
      <c r="B745" t="s">
        <v>76</v>
      </c>
      <c r="C745" t="s">
        <v>77</v>
      </c>
      <c r="D745" t="s">
        <v>163</v>
      </c>
      <c r="E745" t="s">
        <v>166</v>
      </c>
      <c r="F745" t="s">
        <v>1551</v>
      </c>
      <c r="G745">
        <v>0.41180555555555554</v>
      </c>
      <c r="H745" t="s">
        <v>1548</v>
      </c>
      <c r="I745">
        <v>0.86041666666666672</v>
      </c>
      <c r="J745">
        <v>0</v>
      </c>
      <c r="K745">
        <v>0</v>
      </c>
      <c r="L745">
        <v>250</v>
      </c>
      <c r="M745">
        <v>0</v>
      </c>
      <c r="N745">
        <v>0</v>
      </c>
      <c r="O745">
        <v>0</v>
      </c>
      <c r="P745" t="s">
        <v>236</v>
      </c>
      <c r="S745">
        <v>10.766666666666666</v>
      </c>
      <c r="T745">
        <v>250</v>
      </c>
      <c r="U745">
        <v>500</v>
      </c>
    </row>
    <row r="746" spans="1:21">
      <c r="A746">
        <v>44841</v>
      </c>
      <c r="B746" t="s">
        <v>76</v>
      </c>
      <c r="C746" t="s">
        <v>77</v>
      </c>
      <c r="D746" t="s">
        <v>163</v>
      </c>
      <c r="E746" t="s">
        <v>166</v>
      </c>
      <c r="F746" t="s">
        <v>1551</v>
      </c>
      <c r="G746">
        <v>0.43125000000000002</v>
      </c>
      <c r="H746" t="s">
        <v>1548</v>
      </c>
      <c r="I746">
        <v>0.99444444444444446</v>
      </c>
      <c r="J746">
        <v>0</v>
      </c>
      <c r="K746">
        <v>0</v>
      </c>
      <c r="L746">
        <v>250</v>
      </c>
      <c r="M746">
        <v>0</v>
      </c>
      <c r="N746">
        <v>0</v>
      </c>
      <c r="O746">
        <v>0</v>
      </c>
      <c r="P746" t="s">
        <v>236</v>
      </c>
      <c r="S746">
        <v>13.516666666666664</v>
      </c>
      <c r="T746">
        <v>250</v>
      </c>
      <c r="U746">
        <v>500</v>
      </c>
    </row>
    <row r="747" spans="1:21">
      <c r="A747">
        <v>44842</v>
      </c>
      <c r="B747" t="s">
        <v>76</v>
      </c>
      <c r="C747" t="s">
        <v>77</v>
      </c>
      <c r="D747" t="s">
        <v>163</v>
      </c>
      <c r="E747" t="s">
        <v>166</v>
      </c>
      <c r="F747" t="s">
        <v>1553</v>
      </c>
      <c r="G747">
        <v>0.54166666666666663</v>
      </c>
      <c r="H747" t="s">
        <v>1554</v>
      </c>
      <c r="I747">
        <v>0.90208333333333335</v>
      </c>
      <c r="J747">
        <v>0</v>
      </c>
      <c r="K747">
        <v>0</v>
      </c>
      <c r="L747">
        <v>250</v>
      </c>
      <c r="M747">
        <v>0</v>
      </c>
      <c r="N747">
        <v>0</v>
      </c>
      <c r="O747">
        <v>0</v>
      </c>
      <c r="P747" t="s">
        <v>236</v>
      </c>
      <c r="S747">
        <v>8.6500000000000021</v>
      </c>
      <c r="T747">
        <v>250</v>
      </c>
      <c r="U747">
        <v>500</v>
      </c>
    </row>
    <row r="748" spans="1:21">
      <c r="A748">
        <v>44844</v>
      </c>
      <c r="B748" t="s">
        <v>76</v>
      </c>
      <c r="C748" t="s">
        <v>77</v>
      </c>
      <c r="D748" t="s">
        <v>163</v>
      </c>
      <c r="E748" t="s">
        <v>166</v>
      </c>
      <c r="F748" t="s">
        <v>1548</v>
      </c>
      <c r="G748">
        <v>0.27986111111111112</v>
      </c>
      <c r="H748" t="s">
        <v>1205</v>
      </c>
      <c r="I748">
        <v>0.38680555555555557</v>
      </c>
      <c r="J748">
        <v>0</v>
      </c>
      <c r="K748">
        <v>0</v>
      </c>
      <c r="L748">
        <v>250</v>
      </c>
      <c r="M748">
        <v>0</v>
      </c>
      <c r="N748">
        <v>60</v>
      </c>
      <c r="O748">
        <v>0</v>
      </c>
      <c r="P748" t="s">
        <v>236</v>
      </c>
      <c r="S748">
        <v>2.5666666666666655</v>
      </c>
      <c r="T748">
        <v>0</v>
      </c>
      <c r="U748">
        <v>310</v>
      </c>
    </row>
    <row r="749" spans="1:21">
      <c r="A749">
        <v>44845</v>
      </c>
      <c r="B749" t="s">
        <v>76</v>
      </c>
      <c r="C749" t="s">
        <v>77</v>
      </c>
      <c r="D749" t="s">
        <v>163</v>
      </c>
      <c r="E749" t="s">
        <v>166</v>
      </c>
      <c r="F749" t="s">
        <v>1205</v>
      </c>
      <c r="G749">
        <v>0.38680555555555557</v>
      </c>
      <c r="H749" t="s">
        <v>1555</v>
      </c>
      <c r="I749">
        <v>0.86944444444444446</v>
      </c>
      <c r="J749">
        <v>70</v>
      </c>
      <c r="K749">
        <v>0</v>
      </c>
      <c r="L749">
        <v>0</v>
      </c>
      <c r="M749">
        <v>0</v>
      </c>
      <c r="N749">
        <v>0</v>
      </c>
      <c r="O749">
        <v>0</v>
      </c>
      <c r="P749" t="s">
        <v>236</v>
      </c>
      <c r="S749">
        <v>11.583333333333336</v>
      </c>
      <c r="T749">
        <v>250</v>
      </c>
      <c r="U749">
        <v>320</v>
      </c>
    </row>
    <row r="750" spans="1:21">
      <c r="A750">
        <v>44846</v>
      </c>
      <c r="B750" t="s">
        <v>76</v>
      </c>
      <c r="C750" t="s">
        <v>77</v>
      </c>
      <c r="D750" t="s">
        <v>163</v>
      </c>
      <c r="E750" t="s">
        <v>166</v>
      </c>
      <c r="F750" t="s">
        <v>1555</v>
      </c>
      <c r="G750">
        <v>0.39583333333333331</v>
      </c>
      <c r="H750" t="s">
        <v>1555</v>
      </c>
      <c r="I750">
        <v>0.90972222222222221</v>
      </c>
      <c r="J750">
        <v>0</v>
      </c>
      <c r="K750">
        <v>0</v>
      </c>
      <c r="L750">
        <v>250</v>
      </c>
      <c r="M750">
        <v>0</v>
      </c>
      <c r="N750">
        <v>0</v>
      </c>
      <c r="O750">
        <v>0</v>
      </c>
      <c r="P750" t="s">
        <v>236</v>
      </c>
      <c r="S750">
        <v>12.333333333333332</v>
      </c>
      <c r="T750">
        <v>250</v>
      </c>
      <c r="U750">
        <v>500</v>
      </c>
    </row>
    <row r="751" spans="1:21">
      <c r="A751">
        <v>44847</v>
      </c>
      <c r="B751" t="s">
        <v>76</v>
      </c>
      <c r="C751" t="s">
        <v>77</v>
      </c>
      <c r="D751" t="s">
        <v>163</v>
      </c>
      <c r="E751" t="s">
        <v>166</v>
      </c>
      <c r="F751" t="s">
        <v>1555</v>
      </c>
      <c r="G751">
        <v>0.42638888888888887</v>
      </c>
      <c r="H751" t="s">
        <v>1547</v>
      </c>
      <c r="I751">
        <v>0.84722222222222221</v>
      </c>
      <c r="J751">
        <v>0</v>
      </c>
      <c r="K751">
        <v>0</v>
      </c>
      <c r="L751">
        <v>250</v>
      </c>
      <c r="M751">
        <v>0</v>
      </c>
      <c r="N751">
        <v>0</v>
      </c>
      <c r="O751">
        <v>0</v>
      </c>
      <c r="P751" t="s">
        <v>236</v>
      </c>
      <c r="S751">
        <v>10.1</v>
      </c>
      <c r="T751">
        <v>250</v>
      </c>
      <c r="U751">
        <v>500</v>
      </c>
    </row>
    <row r="752" spans="1:21">
      <c r="A752">
        <v>44848</v>
      </c>
      <c r="B752" t="s">
        <v>76</v>
      </c>
      <c r="C752" t="s">
        <v>77</v>
      </c>
      <c r="D752" t="s">
        <v>163</v>
      </c>
      <c r="E752" t="s">
        <v>166</v>
      </c>
      <c r="F752" t="s">
        <v>1547</v>
      </c>
      <c r="G752">
        <v>0.44027777777777777</v>
      </c>
      <c r="H752" t="s">
        <v>1547</v>
      </c>
      <c r="I752">
        <v>0.83402777777777781</v>
      </c>
      <c r="J752">
        <v>3000</v>
      </c>
      <c r="K752">
        <v>0</v>
      </c>
      <c r="L752">
        <v>250</v>
      </c>
      <c r="M752">
        <v>0</v>
      </c>
      <c r="N752">
        <v>41.3</v>
      </c>
      <c r="O752">
        <v>0</v>
      </c>
      <c r="P752" t="s">
        <v>236</v>
      </c>
      <c r="S752">
        <v>9.4499999999999993</v>
      </c>
      <c r="T752">
        <v>250</v>
      </c>
      <c r="U752">
        <v>3541.3</v>
      </c>
    </row>
    <row r="753" spans="1:21">
      <c r="A753">
        <v>44849</v>
      </c>
      <c r="B753" t="s">
        <v>76</v>
      </c>
      <c r="C753" t="s">
        <v>77</v>
      </c>
      <c r="D753" t="s">
        <v>163</v>
      </c>
      <c r="E753" t="s">
        <v>166</v>
      </c>
      <c r="F753" t="s">
        <v>1555</v>
      </c>
      <c r="G753">
        <v>0.46319444444444446</v>
      </c>
      <c r="H753" t="s">
        <v>1555</v>
      </c>
      <c r="I753">
        <v>0.82499999999999996</v>
      </c>
      <c r="J753">
        <v>0</v>
      </c>
      <c r="K753">
        <v>0</v>
      </c>
      <c r="L753">
        <v>250</v>
      </c>
      <c r="M753">
        <v>0</v>
      </c>
      <c r="N753">
        <v>0</v>
      </c>
      <c r="O753">
        <v>0</v>
      </c>
      <c r="P753" t="s">
        <v>236</v>
      </c>
      <c r="S753">
        <v>8.6833333333333336</v>
      </c>
      <c r="T753">
        <v>250</v>
      </c>
      <c r="U753">
        <v>500</v>
      </c>
    </row>
    <row r="754" spans="1:21">
      <c r="A754">
        <v>44835</v>
      </c>
      <c r="B754" t="s">
        <v>941</v>
      </c>
      <c r="C754" t="s">
        <v>942</v>
      </c>
      <c r="D754" t="s">
        <v>163</v>
      </c>
      <c r="E754" t="s">
        <v>1229</v>
      </c>
      <c r="F754" t="s">
        <v>1556</v>
      </c>
      <c r="G754">
        <v>0.33819444444444446</v>
      </c>
      <c r="H754" t="s">
        <v>1557</v>
      </c>
      <c r="I754">
        <v>0.27083333333333331</v>
      </c>
      <c r="J754">
        <v>0</v>
      </c>
      <c r="K754">
        <v>0</v>
      </c>
      <c r="L754">
        <v>0</v>
      </c>
      <c r="M754">
        <v>250</v>
      </c>
      <c r="N754">
        <v>0</v>
      </c>
      <c r="O754">
        <v>0</v>
      </c>
      <c r="P754" t="s">
        <v>1558</v>
      </c>
      <c r="S754">
        <v>22.383333333333333</v>
      </c>
      <c r="U754">
        <v>0</v>
      </c>
    </row>
    <row r="755" spans="1:21">
      <c r="A755">
        <v>44838</v>
      </c>
      <c r="B755" t="s">
        <v>941</v>
      </c>
      <c r="C755" t="s">
        <v>942</v>
      </c>
      <c r="D755" t="s">
        <v>163</v>
      </c>
      <c r="E755" t="s">
        <v>1229</v>
      </c>
      <c r="F755" t="s">
        <v>1559</v>
      </c>
      <c r="G755">
        <v>0.38055555555555554</v>
      </c>
      <c r="H755" t="s">
        <v>1559</v>
      </c>
      <c r="I755">
        <v>0.82638888888888884</v>
      </c>
      <c r="J755">
        <v>0</v>
      </c>
      <c r="K755">
        <v>0</v>
      </c>
      <c r="L755">
        <v>0</v>
      </c>
      <c r="M755">
        <v>250</v>
      </c>
      <c r="N755">
        <v>0</v>
      </c>
      <c r="O755">
        <v>0</v>
      </c>
      <c r="P755" t="s">
        <v>1558</v>
      </c>
      <c r="S755">
        <v>10.7</v>
      </c>
      <c r="U755">
        <v>0</v>
      </c>
    </row>
    <row r="756" spans="1:21">
      <c r="A756">
        <v>44841</v>
      </c>
      <c r="B756" t="s">
        <v>941</v>
      </c>
      <c r="C756" t="s">
        <v>942</v>
      </c>
      <c r="D756" t="s">
        <v>163</v>
      </c>
      <c r="E756" t="s">
        <v>1229</v>
      </c>
      <c r="F756" t="s">
        <v>1559</v>
      </c>
      <c r="G756">
        <v>0.3923611111111111</v>
      </c>
      <c r="H756" t="s">
        <v>1556</v>
      </c>
      <c r="I756">
        <v>0.94861111111111107</v>
      </c>
      <c r="J756">
        <v>0</v>
      </c>
      <c r="K756">
        <v>0</v>
      </c>
      <c r="L756">
        <v>0</v>
      </c>
      <c r="M756">
        <v>250</v>
      </c>
      <c r="N756">
        <v>0</v>
      </c>
      <c r="O756">
        <v>0</v>
      </c>
      <c r="P756" t="s">
        <v>1558</v>
      </c>
      <c r="S756">
        <v>13.349999999999998</v>
      </c>
      <c r="U756">
        <v>0</v>
      </c>
    </row>
    <row r="757" spans="1:21">
      <c r="A757">
        <v>44842</v>
      </c>
      <c r="B757" t="s">
        <v>941</v>
      </c>
      <c r="C757" t="s">
        <v>942</v>
      </c>
      <c r="D757" t="s">
        <v>163</v>
      </c>
      <c r="E757" t="s">
        <v>1229</v>
      </c>
      <c r="F757" t="s">
        <v>1556</v>
      </c>
      <c r="G757">
        <v>0.39444444444444443</v>
      </c>
      <c r="H757" t="s">
        <v>1560</v>
      </c>
      <c r="I757">
        <v>0.99027777777777781</v>
      </c>
      <c r="J757">
        <v>0</v>
      </c>
      <c r="K757">
        <v>0</v>
      </c>
      <c r="L757">
        <v>0</v>
      </c>
      <c r="M757">
        <v>250</v>
      </c>
      <c r="N757">
        <v>0</v>
      </c>
      <c r="O757">
        <v>0</v>
      </c>
      <c r="P757" t="s">
        <v>1558</v>
      </c>
      <c r="S757">
        <v>14.299999999999997</v>
      </c>
      <c r="U757">
        <v>0</v>
      </c>
    </row>
    <row r="758" spans="1:21">
      <c r="A758">
        <v>44843</v>
      </c>
      <c r="B758" t="s">
        <v>941</v>
      </c>
      <c r="C758" t="s">
        <v>942</v>
      </c>
      <c r="D758" t="s">
        <v>163</v>
      </c>
      <c r="E758" t="s">
        <v>1229</v>
      </c>
      <c r="F758" t="s">
        <v>1561</v>
      </c>
      <c r="G758">
        <v>0.39027777777777778</v>
      </c>
      <c r="H758" t="s">
        <v>1559</v>
      </c>
      <c r="I758">
        <v>0.87083333333333335</v>
      </c>
      <c r="J758">
        <v>0</v>
      </c>
      <c r="K758">
        <v>0</v>
      </c>
      <c r="L758">
        <v>0</v>
      </c>
      <c r="M758">
        <v>258</v>
      </c>
      <c r="N758">
        <v>0</v>
      </c>
      <c r="O758">
        <v>0</v>
      </c>
      <c r="P758" t="s">
        <v>1558</v>
      </c>
      <c r="S758">
        <v>11.533333333333333</v>
      </c>
      <c r="U758">
        <v>0</v>
      </c>
    </row>
    <row r="759" spans="1:21">
      <c r="A759">
        <v>44844</v>
      </c>
      <c r="B759" t="s">
        <v>941</v>
      </c>
      <c r="C759" t="s">
        <v>942</v>
      </c>
      <c r="D759" t="s">
        <v>163</v>
      </c>
      <c r="E759" t="s">
        <v>1229</v>
      </c>
      <c r="F759" t="s">
        <v>1562</v>
      </c>
      <c r="G759">
        <v>0.33402777777777776</v>
      </c>
      <c r="H759" t="s">
        <v>1563</v>
      </c>
      <c r="I759">
        <v>0.90347222222222223</v>
      </c>
      <c r="J759">
        <v>0</v>
      </c>
      <c r="K759">
        <v>0</v>
      </c>
      <c r="L759">
        <v>0</v>
      </c>
      <c r="M759">
        <v>250</v>
      </c>
      <c r="N759">
        <v>40</v>
      </c>
      <c r="O759">
        <v>0</v>
      </c>
      <c r="P759" t="s">
        <v>1558</v>
      </c>
      <c r="S759">
        <v>13.666666666666666</v>
      </c>
      <c r="U759">
        <v>40</v>
      </c>
    </row>
    <row r="760" spans="1:21">
      <c r="A760">
        <v>44845</v>
      </c>
      <c r="B760" t="s">
        <v>941</v>
      </c>
      <c r="C760" t="s">
        <v>942</v>
      </c>
      <c r="D760" t="s">
        <v>163</v>
      </c>
      <c r="E760" t="s">
        <v>1229</v>
      </c>
      <c r="F760" t="s">
        <v>1564</v>
      </c>
      <c r="G760">
        <v>0.39374999999999999</v>
      </c>
      <c r="H760" t="s">
        <v>1556</v>
      </c>
      <c r="I760">
        <v>0.87986111111111109</v>
      </c>
      <c r="J760">
        <v>1200</v>
      </c>
      <c r="K760">
        <v>0</v>
      </c>
      <c r="L760">
        <v>0</v>
      </c>
      <c r="M760">
        <v>250</v>
      </c>
      <c r="N760">
        <v>0</v>
      </c>
      <c r="O760">
        <v>0</v>
      </c>
      <c r="P760" t="s">
        <v>1558</v>
      </c>
      <c r="S760">
        <v>11.666666666666666</v>
      </c>
      <c r="U760">
        <v>1200</v>
      </c>
    </row>
    <row r="761" spans="1:21">
      <c r="A761">
        <v>44846</v>
      </c>
      <c r="B761" t="s">
        <v>941</v>
      </c>
      <c r="C761" t="s">
        <v>942</v>
      </c>
      <c r="D761" t="s">
        <v>163</v>
      </c>
      <c r="E761" t="s">
        <v>1229</v>
      </c>
      <c r="F761" t="s">
        <v>1564</v>
      </c>
      <c r="G761">
        <v>0.40208333333333335</v>
      </c>
      <c r="H761" t="s">
        <v>1563</v>
      </c>
      <c r="I761">
        <v>0.8930555555555556</v>
      </c>
      <c r="J761">
        <v>0</v>
      </c>
      <c r="K761">
        <v>0</v>
      </c>
      <c r="L761">
        <v>0</v>
      </c>
      <c r="M761">
        <v>250</v>
      </c>
      <c r="N761">
        <v>0</v>
      </c>
      <c r="O761">
        <v>0</v>
      </c>
      <c r="P761" t="s">
        <v>1558</v>
      </c>
      <c r="S761">
        <v>11.783333333333333</v>
      </c>
      <c r="U761">
        <v>0</v>
      </c>
    </row>
    <row r="762" spans="1:21">
      <c r="A762">
        <v>44847</v>
      </c>
      <c r="B762" t="s">
        <v>941</v>
      </c>
      <c r="C762" t="s">
        <v>942</v>
      </c>
      <c r="D762" t="s">
        <v>163</v>
      </c>
      <c r="E762" t="s">
        <v>1229</v>
      </c>
      <c r="F762" t="s">
        <v>1565</v>
      </c>
      <c r="G762">
        <v>0.38750000000000001</v>
      </c>
      <c r="H762" t="s">
        <v>1559</v>
      </c>
      <c r="I762">
        <v>0.91805555555555551</v>
      </c>
      <c r="J762">
        <v>0</v>
      </c>
      <c r="K762">
        <v>0</v>
      </c>
      <c r="L762">
        <v>0</v>
      </c>
      <c r="M762">
        <v>250</v>
      </c>
      <c r="N762">
        <v>0</v>
      </c>
      <c r="O762">
        <v>0</v>
      </c>
      <c r="P762" t="s">
        <v>1558</v>
      </c>
      <c r="S762">
        <v>12.733333333333331</v>
      </c>
      <c r="U762">
        <v>0</v>
      </c>
    </row>
    <row r="763" spans="1:21">
      <c r="A763">
        <v>44849</v>
      </c>
      <c r="B763" t="s">
        <v>941</v>
      </c>
      <c r="C763" t="s">
        <v>942</v>
      </c>
      <c r="D763" t="s">
        <v>163</v>
      </c>
      <c r="E763" t="s">
        <v>1229</v>
      </c>
      <c r="F763" t="s">
        <v>1566</v>
      </c>
      <c r="G763">
        <v>0.32777777777777778</v>
      </c>
      <c r="H763" t="s">
        <v>1567</v>
      </c>
      <c r="I763">
        <v>0.89722222222222225</v>
      </c>
      <c r="J763">
        <v>0</v>
      </c>
      <c r="K763">
        <v>0</v>
      </c>
      <c r="L763">
        <v>0</v>
      </c>
      <c r="M763">
        <v>250</v>
      </c>
      <c r="N763">
        <v>0</v>
      </c>
      <c r="O763">
        <v>0</v>
      </c>
      <c r="P763" t="s">
        <v>1558</v>
      </c>
      <c r="S763">
        <v>13.666666666666666</v>
      </c>
      <c r="U763">
        <v>0</v>
      </c>
    </row>
    <row r="764" spans="1:21">
      <c r="A764">
        <v>44835</v>
      </c>
      <c r="B764" t="s">
        <v>953</v>
      </c>
      <c r="C764" t="s">
        <v>954</v>
      </c>
      <c r="D764" t="s">
        <v>163</v>
      </c>
      <c r="E764" t="s">
        <v>168</v>
      </c>
      <c r="F764" t="s">
        <v>1568</v>
      </c>
      <c r="G764">
        <v>0.4861111111111111</v>
      </c>
      <c r="H764" t="s">
        <v>1568</v>
      </c>
      <c r="I764">
        <v>0.77708333333333335</v>
      </c>
      <c r="J764">
        <v>500</v>
      </c>
      <c r="K764">
        <v>0</v>
      </c>
      <c r="L764">
        <v>250</v>
      </c>
      <c r="M764">
        <v>0</v>
      </c>
      <c r="N764">
        <v>0</v>
      </c>
      <c r="O764">
        <v>0</v>
      </c>
      <c r="P764" t="s">
        <v>1569</v>
      </c>
      <c r="S764">
        <v>6.9833333333333343</v>
      </c>
      <c r="T764">
        <v>125</v>
      </c>
      <c r="U764">
        <v>875</v>
      </c>
    </row>
    <row r="765" spans="1:21">
      <c r="A765">
        <v>44837</v>
      </c>
      <c r="B765" t="s">
        <v>953</v>
      </c>
      <c r="C765" t="s">
        <v>954</v>
      </c>
      <c r="D765" t="s">
        <v>163</v>
      </c>
      <c r="E765" t="s">
        <v>168</v>
      </c>
      <c r="F765" t="s">
        <v>1570</v>
      </c>
      <c r="G765">
        <v>0.5229166666666667</v>
      </c>
      <c r="H765" t="s">
        <v>1571</v>
      </c>
      <c r="I765">
        <v>0.48680555555555555</v>
      </c>
      <c r="J765">
        <v>0</v>
      </c>
      <c r="K765">
        <v>0</v>
      </c>
      <c r="L765">
        <v>250</v>
      </c>
      <c r="M765">
        <v>0</v>
      </c>
      <c r="N765">
        <v>0</v>
      </c>
      <c r="O765">
        <v>0</v>
      </c>
      <c r="P765" t="s">
        <v>1569</v>
      </c>
      <c r="S765">
        <v>23.133333333333333</v>
      </c>
      <c r="T765">
        <v>250</v>
      </c>
      <c r="U765">
        <v>500</v>
      </c>
    </row>
    <row r="766" spans="1:21">
      <c r="A766">
        <v>44838</v>
      </c>
      <c r="B766" t="s">
        <v>953</v>
      </c>
      <c r="C766" t="s">
        <v>954</v>
      </c>
      <c r="D766" t="s">
        <v>163</v>
      </c>
      <c r="E766" t="s">
        <v>168</v>
      </c>
      <c r="F766" t="s">
        <v>1571</v>
      </c>
      <c r="G766">
        <v>0.48680555555555555</v>
      </c>
      <c r="H766" t="s">
        <v>1568</v>
      </c>
      <c r="I766">
        <v>0.48055555555555557</v>
      </c>
      <c r="J766">
        <v>0</v>
      </c>
      <c r="K766">
        <v>0</v>
      </c>
      <c r="L766">
        <v>250</v>
      </c>
      <c r="M766">
        <v>0</v>
      </c>
      <c r="N766">
        <v>0</v>
      </c>
      <c r="O766">
        <v>0</v>
      </c>
      <c r="P766" t="s">
        <v>1569</v>
      </c>
      <c r="S766">
        <v>23.849999999999998</v>
      </c>
      <c r="T766">
        <v>250</v>
      </c>
      <c r="U766">
        <v>500</v>
      </c>
    </row>
    <row r="767" spans="1:21">
      <c r="A767">
        <v>44839</v>
      </c>
      <c r="B767" t="s">
        <v>953</v>
      </c>
      <c r="C767" t="s">
        <v>954</v>
      </c>
      <c r="D767" t="s">
        <v>163</v>
      </c>
      <c r="E767" t="s">
        <v>168</v>
      </c>
      <c r="F767" t="s">
        <v>1568</v>
      </c>
      <c r="G767">
        <v>0.48055555555555557</v>
      </c>
      <c r="H767" t="s">
        <v>1568</v>
      </c>
      <c r="I767">
        <v>0.40138888888888891</v>
      </c>
      <c r="J767">
        <v>0</v>
      </c>
      <c r="K767">
        <v>0</v>
      </c>
      <c r="L767">
        <v>250</v>
      </c>
      <c r="M767">
        <v>0</v>
      </c>
      <c r="N767">
        <v>0</v>
      </c>
      <c r="O767">
        <v>0</v>
      </c>
      <c r="P767" t="s">
        <v>1569</v>
      </c>
      <c r="S767">
        <v>22.1</v>
      </c>
      <c r="T767">
        <v>250</v>
      </c>
      <c r="U767">
        <v>500</v>
      </c>
    </row>
    <row r="768" spans="1:21">
      <c r="A768">
        <v>44840</v>
      </c>
      <c r="B768" t="s">
        <v>953</v>
      </c>
      <c r="C768" t="s">
        <v>954</v>
      </c>
      <c r="D768" t="s">
        <v>163</v>
      </c>
      <c r="E768" t="s">
        <v>168</v>
      </c>
      <c r="F768" t="s">
        <v>1568</v>
      </c>
      <c r="G768">
        <v>0.40138888888888891</v>
      </c>
      <c r="H768" t="s">
        <v>1568</v>
      </c>
      <c r="I768">
        <v>0.51111111111111107</v>
      </c>
      <c r="J768">
        <v>0</v>
      </c>
      <c r="K768">
        <v>0</v>
      </c>
      <c r="L768">
        <v>250</v>
      </c>
      <c r="M768">
        <v>0</v>
      </c>
      <c r="N768">
        <v>0</v>
      </c>
      <c r="O768">
        <v>0</v>
      </c>
      <c r="P768" t="s">
        <v>1569</v>
      </c>
      <c r="S768">
        <v>2.6333333333333333</v>
      </c>
      <c r="T768">
        <v>0</v>
      </c>
      <c r="U768">
        <v>250</v>
      </c>
    </row>
    <row r="769" spans="1:21">
      <c r="A769">
        <v>44841</v>
      </c>
      <c r="B769" t="s">
        <v>953</v>
      </c>
      <c r="C769" t="s">
        <v>954</v>
      </c>
      <c r="D769" t="s">
        <v>163</v>
      </c>
      <c r="E769" t="s">
        <v>168</v>
      </c>
      <c r="F769" t="s">
        <v>1568</v>
      </c>
      <c r="G769">
        <v>0.51111111111111107</v>
      </c>
      <c r="H769" t="s">
        <v>1568</v>
      </c>
      <c r="I769">
        <v>0.47499999999999998</v>
      </c>
      <c r="J769">
        <v>0</v>
      </c>
      <c r="K769">
        <v>0</v>
      </c>
      <c r="L769">
        <v>250</v>
      </c>
      <c r="M769">
        <v>0</v>
      </c>
      <c r="N769">
        <v>0</v>
      </c>
      <c r="O769">
        <v>0</v>
      </c>
      <c r="P769" t="s">
        <v>1569</v>
      </c>
      <c r="S769">
        <v>23.133333333333333</v>
      </c>
      <c r="T769">
        <v>250</v>
      </c>
      <c r="U769">
        <v>500</v>
      </c>
    </row>
    <row r="770" spans="1:21">
      <c r="A770">
        <v>44847</v>
      </c>
      <c r="B770" t="s">
        <v>953</v>
      </c>
      <c r="C770" t="s">
        <v>954</v>
      </c>
      <c r="D770" t="s">
        <v>163</v>
      </c>
      <c r="E770" t="s">
        <v>168</v>
      </c>
      <c r="F770" t="s">
        <v>1568</v>
      </c>
      <c r="G770">
        <v>0.47499999999999998</v>
      </c>
      <c r="H770" t="s">
        <v>1568</v>
      </c>
      <c r="I770">
        <v>0.49166666666666664</v>
      </c>
      <c r="J770">
        <v>0</v>
      </c>
      <c r="K770">
        <v>0</v>
      </c>
      <c r="L770">
        <v>250</v>
      </c>
      <c r="M770">
        <v>0</v>
      </c>
      <c r="N770">
        <v>0</v>
      </c>
      <c r="O770">
        <v>0</v>
      </c>
      <c r="P770" t="s">
        <v>1569</v>
      </c>
      <c r="S770">
        <v>0.39999999999999991</v>
      </c>
      <c r="T770">
        <v>0</v>
      </c>
      <c r="U770">
        <v>250</v>
      </c>
    </row>
    <row r="771" spans="1:21">
      <c r="A771">
        <v>44848</v>
      </c>
      <c r="B771" t="s">
        <v>953</v>
      </c>
      <c r="C771" t="s">
        <v>954</v>
      </c>
      <c r="D771" t="s">
        <v>163</v>
      </c>
      <c r="E771" t="s">
        <v>168</v>
      </c>
      <c r="F771" t="s">
        <v>1568</v>
      </c>
      <c r="G771">
        <v>0.49166666666666664</v>
      </c>
      <c r="H771" t="s">
        <v>1572</v>
      </c>
      <c r="I771">
        <v>0.49375000000000002</v>
      </c>
      <c r="J771">
        <v>0</v>
      </c>
      <c r="K771">
        <v>0</v>
      </c>
      <c r="L771">
        <v>250</v>
      </c>
      <c r="M771">
        <v>0</v>
      </c>
      <c r="N771">
        <v>0</v>
      </c>
      <c r="O771">
        <v>0</v>
      </c>
      <c r="P771" t="s">
        <v>1569</v>
      </c>
      <c r="S771">
        <v>4.9999999999999822E-2</v>
      </c>
      <c r="T771">
        <v>0</v>
      </c>
      <c r="U771">
        <v>250</v>
      </c>
    </row>
    <row r="772" spans="1:21">
      <c r="A772">
        <v>44849</v>
      </c>
      <c r="B772" t="s">
        <v>953</v>
      </c>
      <c r="C772" t="s">
        <v>954</v>
      </c>
      <c r="D772" t="s">
        <v>163</v>
      </c>
      <c r="E772" t="s">
        <v>168</v>
      </c>
      <c r="F772" t="s">
        <v>1572</v>
      </c>
      <c r="G772">
        <v>0.49375000000000002</v>
      </c>
      <c r="H772" t="s">
        <v>1573</v>
      </c>
      <c r="I772">
        <v>0.75555555555555554</v>
      </c>
      <c r="J772">
        <v>400</v>
      </c>
      <c r="K772">
        <v>0</v>
      </c>
      <c r="L772">
        <v>250</v>
      </c>
      <c r="M772">
        <v>0</v>
      </c>
      <c r="N772">
        <v>0</v>
      </c>
      <c r="O772">
        <v>0</v>
      </c>
      <c r="P772" t="s">
        <v>1569</v>
      </c>
      <c r="S772">
        <v>6.2833333333333332</v>
      </c>
      <c r="T772">
        <v>125</v>
      </c>
      <c r="U772">
        <v>775</v>
      </c>
    </row>
    <row r="773" spans="1:21">
      <c r="A773">
        <v>44835</v>
      </c>
      <c r="B773" t="s">
        <v>955</v>
      </c>
      <c r="C773" t="s">
        <v>956</v>
      </c>
      <c r="D773" t="s">
        <v>227</v>
      </c>
      <c r="E773" t="s">
        <v>194</v>
      </c>
      <c r="F773" t="s">
        <v>1574</v>
      </c>
      <c r="G773">
        <v>0.42222222222222222</v>
      </c>
      <c r="H773" t="s">
        <v>1575</v>
      </c>
      <c r="I773">
        <v>0.44583333333333336</v>
      </c>
      <c r="J773">
        <v>0</v>
      </c>
      <c r="K773">
        <v>0</v>
      </c>
      <c r="L773">
        <v>300</v>
      </c>
      <c r="M773">
        <v>0</v>
      </c>
      <c r="N773">
        <v>0</v>
      </c>
      <c r="O773">
        <v>0</v>
      </c>
      <c r="P773" t="s">
        <v>1576</v>
      </c>
      <c r="S773">
        <v>0.56666666666666599</v>
      </c>
      <c r="T773">
        <v>0</v>
      </c>
      <c r="U773">
        <v>300</v>
      </c>
    </row>
    <row r="774" spans="1:21">
      <c r="A774">
        <v>44837</v>
      </c>
      <c r="B774" t="s">
        <v>955</v>
      </c>
      <c r="C774" t="s">
        <v>956</v>
      </c>
      <c r="D774" t="s">
        <v>227</v>
      </c>
      <c r="E774" t="s">
        <v>194</v>
      </c>
      <c r="F774" t="s">
        <v>1575</v>
      </c>
      <c r="G774">
        <v>0.44583333333333336</v>
      </c>
      <c r="H774" t="s">
        <v>1577</v>
      </c>
      <c r="I774">
        <v>0.30625000000000002</v>
      </c>
      <c r="J774">
        <v>0</v>
      </c>
      <c r="K774">
        <v>0</v>
      </c>
      <c r="L774">
        <v>300</v>
      </c>
      <c r="M774">
        <v>0</v>
      </c>
      <c r="N774">
        <v>390</v>
      </c>
      <c r="O774">
        <v>0</v>
      </c>
      <c r="P774" t="s">
        <v>1576</v>
      </c>
      <c r="S774">
        <v>20.65</v>
      </c>
      <c r="T774">
        <v>300</v>
      </c>
      <c r="U774">
        <v>990</v>
      </c>
    </row>
    <row r="775" spans="1:21">
      <c r="A775">
        <v>44838</v>
      </c>
      <c r="B775" t="s">
        <v>955</v>
      </c>
      <c r="C775" t="s">
        <v>956</v>
      </c>
      <c r="D775" t="s">
        <v>227</v>
      </c>
      <c r="E775" t="s">
        <v>194</v>
      </c>
      <c r="F775" t="s">
        <v>1577</v>
      </c>
      <c r="G775">
        <v>0.30625000000000002</v>
      </c>
      <c r="H775" t="s">
        <v>1578</v>
      </c>
      <c r="I775">
        <v>0.42152777777777778</v>
      </c>
      <c r="J775">
        <v>0</v>
      </c>
      <c r="K775">
        <v>0</v>
      </c>
      <c r="L775">
        <v>300</v>
      </c>
      <c r="M775">
        <v>0</v>
      </c>
      <c r="N775">
        <v>0</v>
      </c>
      <c r="O775">
        <v>0</v>
      </c>
      <c r="P775" t="s">
        <v>1576</v>
      </c>
      <c r="S775">
        <v>2.7666666666666675</v>
      </c>
      <c r="T775">
        <v>0</v>
      </c>
      <c r="U775">
        <v>300</v>
      </c>
    </row>
    <row r="776" spans="1:21">
      <c r="A776">
        <v>44839</v>
      </c>
      <c r="B776" t="s">
        <v>955</v>
      </c>
      <c r="C776" t="s">
        <v>956</v>
      </c>
      <c r="D776" t="s">
        <v>227</v>
      </c>
      <c r="E776" t="s">
        <v>194</v>
      </c>
      <c r="F776" t="s">
        <v>1578</v>
      </c>
      <c r="G776">
        <v>0.42152777777777778</v>
      </c>
      <c r="H776" t="s">
        <v>1579</v>
      </c>
      <c r="I776">
        <v>0.37361111111111112</v>
      </c>
      <c r="J776">
        <v>0</v>
      </c>
      <c r="K776">
        <v>0</v>
      </c>
      <c r="L776">
        <v>300</v>
      </c>
      <c r="M776">
        <v>0</v>
      </c>
      <c r="N776">
        <v>0</v>
      </c>
      <c r="O776">
        <v>0</v>
      </c>
      <c r="P776" t="s">
        <v>1576</v>
      </c>
      <c r="S776">
        <v>22.85</v>
      </c>
      <c r="T776">
        <v>300</v>
      </c>
      <c r="U776">
        <v>600</v>
      </c>
    </row>
    <row r="777" spans="1:21">
      <c r="A777">
        <v>44840</v>
      </c>
      <c r="B777" t="s">
        <v>955</v>
      </c>
      <c r="C777" t="s">
        <v>956</v>
      </c>
      <c r="D777" t="s">
        <v>227</v>
      </c>
      <c r="E777" t="s">
        <v>194</v>
      </c>
      <c r="F777" t="s">
        <v>1579</v>
      </c>
      <c r="G777">
        <v>0.37361111111111112</v>
      </c>
      <c r="H777" t="s">
        <v>1580</v>
      </c>
      <c r="I777">
        <v>0.40555555555555556</v>
      </c>
      <c r="J777">
        <v>1366.5</v>
      </c>
      <c r="K777">
        <v>0</v>
      </c>
      <c r="L777">
        <v>300</v>
      </c>
      <c r="M777">
        <v>0</v>
      </c>
      <c r="N777">
        <v>0</v>
      </c>
      <c r="O777">
        <v>0</v>
      </c>
      <c r="P777" t="s">
        <v>1576</v>
      </c>
      <c r="S777">
        <v>0.76666666666666661</v>
      </c>
      <c r="T777">
        <v>0</v>
      </c>
      <c r="U777">
        <v>1666.5</v>
      </c>
    </row>
    <row r="778" spans="1:21">
      <c r="A778">
        <v>44841</v>
      </c>
      <c r="B778" t="s">
        <v>955</v>
      </c>
      <c r="C778" t="s">
        <v>956</v>
      </c>
      <c r="D778" t="s">
        <v>227</v>
      </c>
      <c r="E778" t="s">
        <v>194</v>
      </c>
      <c r="F778" t="s">
        <v>1580</v>
      </c>
      <c r="G778">
        <v>0.40555555555555556</v>
      </c>
      <c r="H778" t="s">
        <v>1581</v>
      </c>
      <c r="I778">
        <v>0.51875000000000004</v>
      </c>
      <c r="J778">
        <v>0</v>
      </c>
      <c r="K778">
        <v>0</v>
      </c>
      <c r="L778">
        <v>300</v>
      </c>
      <c r="M778">
        <v>0</v>
      </c>
      <c r="N778">
        <v>0</v>
      </c>
      <c r="O778">
        <v>0</v>
      </c>
      <c r="P778" t="s">
        <v>1576</v>
      </c>
      <c r="S778">
        <v>2.716666666666665</v>
      </c>
      <c r="T778">
        <v>0</v>
      </c>
      <c r="U778">
        <v>300</v>
      </c>
    </row>
    <row r="779" spans="1:21">
      <c r="A779">
        <v>44842</v>
      </c>
      <c r="B779" t="s">
        <v>955</v>
      </c>
      <c r="C779" t="s">
        <v>956</v>
      </c>
      <c r="D779" t="s">
        <v>227</v>
      </c>
      <c r="E779" t="s">
        <v>194</v>
      </c>
      <c r="F779" t="s">
        <v>1581</v>
      </c>
      <c r="G779">
        <v>0.51875000000000004</v>
      </c>
      <c r="H779" t="s">
        <v>1582</v>
      </c>
      <c r="I779">
        <v>0.4201388888888889</v>
      </c>
      <c r="J779">
        <v>1366</v>
      </c>
      <c r="K779">
        <v>0</v>
      </c>
      <c r="L779">
        <v>300</v>
      </c>
      <c r="M779">
        <v>0</v>
      </c>
      <c r="N779">
        <v>0</v>
      </c>
      <c r="O779">
        <v>0</v>
      </c>
      <c r="P779" t="s">
        <v>1576</v>
      </c>
      <c r="S779">
        <v>21.633333333333336</v>
      </c>
      <c r="T779">
        <v>300</v>
      </c>
      <c r="U779">
        <v>1966</v>
      </c>
    </row>
    <row r="780" spans="1:21">
      <c r="A780">
        <v>44843</v>
      </c>
      <c r="B780" t="s">
        <v>955</v>
      </c>
      <c r="C780" t="s">
        <v>956</v>
      </c>
      <c r="D780" t="s">
        <v>227</v>
      </c>
      <c r="E780" t="s">
        <v>194</v>
      </c>
      <c r="F780" t="s">
        <v>1582</v>
      </c>
      <c r="G780">
        <v>0.4201388888888889</v>
      </c>
      <c r="H780" t="s">
        <v>1583</v>
      </c>
      <c r="I780">
        <v>0.39513888888888887</v>
      </c>
      <c r="J780">
        <v>0</v>
      </c>
      <c r="K780">
        <v>0</v>
      </c>
      <c r="L780">
        <v>300</v>
      </c>
      <c r="M780">
        <v>0</v>
      </c>
      <c r="N780">
        <v>0</v>
      </c>
      <c r="O780">
        <v>0</v>
      </c>
      <c r="P780" t="s">
        <v>1576</v>
      </c>
      <c r="S780">
        <v>23.4</v>
      </c>
      <c r="T780">
        <v>300</v>
      </c>
      <c r="U780">
        <v>600</v>
      </c>
    </row>
    <row r="781" spans="1:21">
      <c r="A781">
        <v>44844</v>
      </c>
      <c r="B781" t="s">
        <v>955</v>
      </c>
      <c r="C781" t="s">
        <v>956</v>
      </c>
      <c r="D781" t="s">
        <v>227</v>
      </c>
      <c r="E781" t="s">
        <v>194</v>
      </c>
      <c r="F781" t="s">
        <v>1583</v>
      </c>
      <c r="G781">
        <v>0.39513888888888887</v>
      </c>
      <c r="H781" t="s">
        <v>1584</v>
      </c>
      <c r="I781">
        <v>0.38680555555555557</v>
      </c>
      <c r="J781">
        <v>0</v>
      </c>
      <c r="K781">
        <v>0</v>
      </c>
      <c r="L781">
        <v>300</v>
      </c>
      <c r="M781">
        <v>0</v>
      </c>
      <c r="N781">
        <v>0</v>
      </c>
      <c r="O781">
        <v>0</v>
      </c>
      <c r="P781" t="s">
        <v>1576</v>
      </c>
      <c r="S781">
        <v>23.8</v>
      </c>
      <c r="T781">
        <v>300</v>
      </c>
      <c r="U781">
        <v>600</v>
      </c>
    </row>
    <row r="782" spans="1:21">
      <c r="A782">
        <v>44845</v>
      </c>
      <c r="B782" t="s">
        <v>955</v>
      </c>
      <c r="C782" t="s">
        <v>956</v>
      </c>
      <c r="D782" t="s">
        <v>227</v>
      </c>
      <c r="E782" t="s">
        <v>194</v>
      </c>
      <c r="F782" t="s">
        <v>1584</v>
      </c>
      <c r="G782">
        <v>0.38680555555555557</v>
      </c>
      <c r="H782" t="s">
        <v>1580</v>
      </c>
      <c r="I782">
        <v>0.35069444444444442</v>
      </c>
      <c r="J782">
        <v>1366.75</v>
      </c>
      <c r="K782">
        <v>0</v>
      </c>
      <c r="L782">
        <v>300</v>
      </c>
      <c r="M782">
        <v>0</v>
      </c>
      <c r="N782">
        <v>0</v>
      </c>
      <c r="O782">
        <v>0</v>
      </c>
      <c r="P782" t="s">
        <v>1576</v>
      </c>
      <c r="S782">
        <v>23.133333333333333</v>
      </c>
      <c r="T782">
        <v>300</v>
      </c>
      <c r="U782">
        <v>1966.75</v>
      </c>
    </row>
    <row r="783" spans="1:21">
      <c r="A783">
        <v>44846</v>
      </c>
      <c r="B783" t="s">
        <v>955</v>
      </c>
      <c r="C783" t="s">
        <v>956</v>
      </c>
      <c r="D783" t="s">
        <v>227</v>
      </c>
      <c r="E783" t="s">
        <v>194</v>
      </c>
      <c r="F783" t="s">
        <v>1580</v>
      </c>
      <c r="G783">
        <v>0.35069444444444442</v>
      </c>
      <c r="H783" t="s">
        <v>1580</v>
      </c>
      <c r="I783">
        <v>0.35069444444444442</v>
      </c>
      <c r="J783">
        <v>0</v>
      </c>
      <c r="K783">
        <v>0</v>
      </c>
      <c r="L783">
        <v>300</v>
      </c>
      <c r="M783">
        <v>0</v>
      </c>
      <c r="N783">
        <v>0</v>
      </c>
      <c r="O783">
        <v>0</v>
      </c>
      <c r="P783" t="s">
        <v>1576</v>
      </c>
      <c r="S783">
        <v>0</v>
      </c>
      <c r="T783">
        <v>0</v>
      </c>
      <c r="U783">
        <v>300</v>
      </c>
    </row>
    <row r="784" spans="1:21">
      <c r="A784">
        <v>44847</v>
      </c>
      <c r="B784" t="s">
        <v>955</v>
      </c>
      <c r="C784" t="s">
        <v>956</v>
      </c>
      <c r="D784" t="s">
        <v>227</v>
      </c>
      <c r="E784" t="s">
        <v>194</v>
      </c>
      <c r="F784" t="s">
        <v>178</v>
      </c>
      <c r="G784">
        <v>0.40069444444444446</v>
      </c>
      <c r="H784" t="s">
        <v>1585</v>
      </c>
      <c r="I784">
        <v>0.46319444444444446</v>
      </c>
      <c r="J784">
        <v>0</v>
      </c>
      <c r="K784">
        <v>0</v>
      </c>
      <c r="L784">
        <v>300</v>
      </c>
      <c r="M784">
        <v>0</v>
      </c>
      <c r="N784">
        <v>0</v>
      </c>
      <c r="O784">
        <v>0</v>
      </c>
      <c r="P784" t="s">
        <v>1576</v>
      </c>
      <c r="S784">
        <v>1.5</v>
      </c>
      <c r="T784">
        <v>0</v>
      </c>
      <c r="U784">
        <v>300</v>
      </c>
    </row>
    <row r="785" spans="1:21">
      <c r="A785">
        <v>44848</v>
      </c>
      <c r="B785" t="s">
        <v>955</v>
      </c>
      <c r="C785" t="s">
        <v>956</v>
      </c>
      <c r="D785" t="s">
        <v>227</v>
      </c>
      <c r="E785" t="s">
        <v>194</v>
      </c>
      <c r="F785" t="s">
        <v>1585</v>
      </c>
      <c r="G785">
        <v>0.46319444444444446</v>
      </c>
      <c r="H785" t="s">
        <v>1580</v>
      </c>
      <c r="I785">
        <v>0.83819444444444446</v>
      </c>
      <c r="J785">
        <v>1365.75</v>
      </c>
      <c r="K785">
        <v>0</v>
      </c>
      <c r="L785">
        <v>300</v>
      </c>
      <c r="M785">
        <v>0</v>
      </c>
      <c r="N785">
        <v>0</v>
      </c>
      <c r="O785">
        <v>0</v>
      </c>
      <c r="P785" t="s">
        <v>1576</v>
      </c>
      <c r="S785">
        <v>9.0000000000000018</v>
      </c>
      <c r="T785">
        <v>300</v>
      </c>
      <c r="U785">
        <v>1965.75</v>
      </c>
    </row>
    <row r="786" spans="1:21">
      <c r="A786">
        <v>44849</v>
      </c>
      <c r="B786" t="s">
        <v>955</v>
      </c>
      <c r="C786" t="s">
        <v>956</v>
      </c>
      <c r="D786" t="s">
        <v>227</v>
      </c>
      <c r="E786" t="s">
        <v>194</v>
      </c>
      <c r="F786" t="s">
        <v>178</v>
      </c>
      <c r="G786">
        <v>0.40833333333333333</v>
      </c>
      <c r="H786" t="s">
        <v>1586</v>
      </c>
      <c r="I786">
        <v>0.47013888888888888</v>
      </c>
      <c r="J786">
        <v>0</v>
      </c>
      <c r="K786">
        <v>0</v>
      </c>
      <c r="L786">
        <v>300</v>
      </c>
      <c r="M786">
        <v>0</v>
      </c>
      <c r="N786">
        <v>23416</v>
      </c>
      <c r="O786">
        <v>0</v>
      </c>
      <c r="P786" t="s">
        <v>1576</v>
      </c>
      <c r="S786">
        <v>1.4833333333333334</v>
      </c>
      <c r="T786">
        <v>0</v>
      </c>
      <c r="U786">
        <v>23716</v>
      </c>
    </row>
    <row r="787" spans="1:21">
      <c r="A787">
        <v>44835</v>
      </c>
      <c r="B787" t="s">
        <v>971</v>
      </c>
      <c r="C787" t="s">
        <v>972</v>
      </c>
      <c r="D787" t="s">
        <v>163</v>
      </c>
      <c r="E787" t="s">
        <v>171</v>
      </c>
      <c r="F787" t="s">
        <v>1587</v>
      </c>
      <c r="G787">
        <v>0.41666666666666669</v>
      </c>
      <c r="H787" t="s">
        <v>1587</v>
      </c>
      <c r="I787">
        <v>0.50624999999999998</v>
      </c>
      <c r="J787">
        <v>0</v>
      </c>
      <c r="K787">
        <v>0</v>
      </c>
      <c r="L787">
        <v>300</v>
      </c>
      <c r="M787">
        <v>0</v>
      </c>
      <c r="N787">
        <v>0</v>
      </c>
      <c r="O787">
        <v>0</v>
      </c>
      <c r="P787" t="s">
        <v>1588</v>
      </c>
      <c r="S787">
        <v>2.1500000000000004</v>
      </c>
      <c r="T787">
        <v>0</v>
      </c>
      <c r="U787">
        <v>300</v>
      </c>
    </row>
    <row r="788" spans="1:21">
      <c r="A788">
        <v>44837</v>
      </c>
      <c r="B788" t="s">
        <v>971</v>
      </c>
      <c r="C788" t="s">
        <v>972</v>
      </c>
      <c r="D788" t="s">
        <v>163</v>
      </c>
      <c r="E788" t="s">
        <v>171</v>
      </c>
      <c r="F788" t="s">
        <v>1589</v>
      </c>
      <c r="G788">
        <v>0.39513888888888887</v>
      </c>
      <c r="H788" t="s">
        <v>1587</v>
      </c>
      <c r="I788">
        <v>0.43472222222222223</v>
      </c>
      <c r="J788">
        <v>0</v>
      </c>
      <c r="K788">
        <v>0</v>
      </c>
      <c r="L788">
        <v>150</v>
      </c>
      <c r="M788">
        <v>0</v>
      </c>
      <c r="N788">
        <v>0</v>
      </c>
      <c r="O788">
        <v>0</v>
      </c>
      <c r="P788" t="s">
        <v>1588</v>
      </c>
      <c r="S788">
        <v>0.95000000000000062</v>
      </c>
      <c r="T788">
        <v>0</v>
      </c>
      <c r="U788">
        <v>150</v>
      </c>
    </row>
    <row r="789" spans="1:21">
      <c r="A789">
        <v>44841</v>
      </c>
      <c r="B789" t="s">
        <v>971</v>
      </c>
      <c r="C789" t="s">
        <v>972</v>
      </c>
      <c r="D789" t="s">
        <v>163</v>
      </c>
      <c r="E789" t="s">
        <v>171</v>
      </c>
      <c r="F789" t="s">
        <v>1590</v>
      </c>
      <c r="G789">
        <v>0.3888888888888889</v>
      </c>
      <c r="H789" t="s">
        <v>1587</v>
      </c>
      <c r="I789">
        <v>0.50972222222222219</v>
      </c>
      <c r="J789">
        <v>0</v>
      </c>
      <c r="K789">
        <v>0</v>
      </c>
      <c r="L789">
        <v>300</v>
      </c>
      <c r="M789">
        <v>0</v>
      </c>
      <c r="N789">
        <v>0</v>
      </c>
      <c r="O789">
        <v>0</v>
      </c>
      <c r="P789" t="s">
        <v>1588</v>
      </c>
      <c r="S789">
        <v>2.899999999999999</v>
      </c>
      <c r="T789">
        <v>0</v>
      </c>
      <c r="U789">
        <v>300</v>
      </c>
    </row>
    <row r="790" spans="1:21">
      <c r="A790">
        <v>44842</v>
      </c>
      <c r="B790" t="s">
        <v>971</v>
      </c>
      <c r="C790" t="s">
        <v>972</v>
      </c>
      <c r="D790" t="s">
        <v>163</v>
      </c>
      <c r="E790" t="s">
        <v>171</v>
      </c>
      <c r="F790" t="s">
        <v>1587</v>
      </c>
      <c r="G790">
        <v>0.50972222222222219</v>
      </c>
      <c r="H790" t="s">
        <v>1591</v>
      </c>
      <c r="I790">
        <v>0.36319444444444443</v>
      </c>
      <c r="J790">
        <v>0</v>
      </c>
      <c r="K790">
        <v>0</v>
      </c>
      <c r="L790">
        <v>150</v>
      </c>
      <c r="M790">
        <v>0</v>
      </c>
      <c r="N790">
        <v>0</v>
      </c>
      <c r="O790">
        <v>0</v>
      </c>
      <c r="P790" t="s">
        <v>1588</v>
      </c>
      <c r="S790">
        <v>20.483333333333334</v>
      </c>
      <c r="T790">
        <v>125</v>
      </c>
      <c r="U790">
        <v>275</v>
      </c>
    </row>
    <row r="791" spans="1:21">
      <c r="A791">
        <v>44846</v>
      </c>
      <c r="B791" t="s">
        <v>971</v>
      </c>
      <c r="C791" t="s">
        <v>972</v>
      </c>
      <c r="D791" t="s">
        <v>163</v>
      </c>
      <c r="E791" t="s">
        <v>171</v>
      </c>
      <c r="F791" t="s">
        <v>1587</v>
      </c>
      <c r="G791">
        <v>0.43055555555555558</v>
      </c>
      <c r="H791" t="s">
        <v>1591</v>
      </c>
      <c r="I791">
        <v>0.43541666666666667</v>
      </c>
      <c r="J791">
        <v>0</v>
      </c>
      <c r="K791">
        <v>0</v>
      </c>
      <c r="L791">
        <v>150</v>
      </c>
      <c r="M791">
        <v>0</v>
      </c>
      <c r="N791">
        <v>0</v>
      </c>
      <c r="O791">
        <v>0</v>
      </c>
      <c r="P791" t="s">
        <v>1588</v>
      </c>
      <c r="S791">
        <v>0.11666666666666758</v>
      </c>
      <c r="T791">
        <v>0</v>
      </c>
      <c r="U791">
        <v>150</v>
      </c>
    </row>
    <row r="792" spans="1:21">
      <c r="A792">
        <v>44848</v>
      </c>
      <c r="B792" t="s">
        <v>971</v>
      </c>
      <c r="C792" t="s">
        <v>972</v>
      </c>
      <c r="D792" t="s">
        <v>163</v>
      </c>
      <c r="E792" t="s">
        <v>171</v>
      </c>
      <c r="F792" t="s">
        <v>1591</v>
      </c>
      <c r="G792">
        <v>0.43541666666666667</v>
      </c>
      <c r="H792" t="s">
        <v>1591</v>
      </c>
      <c r="I792">
        <v>0.45</v>
      </c>
      <c r="J792">
        <v>0</v>
      </c>
      <c r="K792">
        <v>0</v>
      </c>
      <c r="L792">
        <v>150</v>
      </c>
      <c r="M792">
        <v>0</v>
      </c>
      <c r="N792">
        <v>0</v>
      </c>
      <c r="O792">
        <v>0</v>
      </c>
      <c r="P792" t="s">
        <v>1588</v>
      </c>
      <c r="S792">
        <v>0.34999999999999876</v>
      </c>
      <c r="T792">
        <v>0</v>
      </c>
      <c r="U792">
        <v>150</v>
      </c>
    </row>
    <row r="793" spans="1:21">
      <c r="A793">
        <v>44849</v>
      </c>
      <c r="B793" t="s">
        <v>971</v>
      </c>
      <c r="C793" t="s">
        <v>972</v>
      </c>
      <c r="D793" t="s">
        <v>163</v>
      </c>
      <c r="E793" t="s">
        <v>171</v>
      </c>
      <c r="F793" t="s">
        <v>1591</v>
      </c>
      <c r="G793">
        <v>0.45</v>
      </c>
      <c r="H793" t="s">
        <v>1592</v>
      </c>
      <c r="I793">
        <v>0.47708333333333336</v>
      </c>
      <c r="J793">
        <v>0</v>
      </c>
      <c r="K793">
        <v>0</v>
      </c>
      <c r="L793">
        <v>150</v>
      </c>
      <c r="M793">
        <v>0</v>
      </c>
      <c r="N793">
        <v>0</v>
      </c>
      <c r="O793">
        <v>0</v>
      </c>
      <c r="P793" t="s">
        <v>1588</v>
      </c>
      <c r="S793">
        <v>0.65000000000000036</v>
      </c>
      <c r="T793">
        <v>0</v>
      </c>
      <c r="U793">
        <v>150</v>
      </c>
    </row>
    <row r="794" spans="1:21">
      <c r="A794">
        <v>44837</v>
      </c>
      <c r="B794" t="s">
        <v>980</v>
      </c>
      <c r="C794" t="s">
        <v>981</v>
      </c>
      <c r="D794" t="s">
        <v>163</v>
      </c>
      <c r="E794" t="s">
        <v>167</v>
      </c>
      <c r="F794" t="s">
        <v>1593</v>
      </c>
      <c r="G794">
        <v>0.34930555555555554</v>
      </c>
      <c r="H794" t="s">
        <v>1594</v>
      </c>
      <c r="I794">
        <v>0.81666666666666665</v>
      </c>
      <c r="J794">
        <v>550</v>
      </c>
      <c r="K794">
        <v>0</v>
      </c>
      <c r="L794">
        <v>0</v>
      </c>
      <c r="M794">
        <v>200</v>
      </c>
      <c r="N794">
        <v>0</v>
      </c>
      <c r="O794">
        <v>0</v>
      </c>
      <c r="P794" t="s">
        <v>1595</v>
      </c>
      <c r="S794">
        <v>11.216666666666667</v>
      </c>
      <c r="T794">
        <v>200</v>
      </c>
      <c r="U794">
        <v>750</v>
      </c>
    </row>
    <row r="795" spans="1:21">
      <c r="A795">
        <v>44840</v>
      </c>
      <c r="B795" t="s">
        <v>980</v>
      </c>
      <c r="C795" t="s">
        <v>981</v>
      </c>
      <c r="D795" t="s">
        <v>163</v>
      </c>
      <c r="E795" t="s">
        <v>167</v>
      </c>
      <c r="F795" t="s">
        <v>1596</v>
      </c>
      <c r="G795">
        <v>0.33402777777777776</v>
      </c>
      <c r="H795" t="s">
        <v>1596</v>
      </c>
      <c r="I795">
        <v>0.81597222222222221</v>
      </c>
      <c r="J795">
        <v>0</v>
      </c>
      <c r="K795">
        <v>0</v>
      </c>
      <c r="L795">
        <v>0</v>
      </c>
      <c r="M795">
        <v>200</v>
      </c>
      <c r="N795">
        <v>0</v>
      </c>
      <c r="O795">
        <v>0</v>
      </c>
      <c r="P795" t="s">
        <v>1595</v>
      </c>
      <c r="S795">
        <v>11.566666666666666</v>
      </c>
      <c r="T795">
        <v>200</v>
      </c>
      <c r="U795">
        <v>200</v>
      </c>
    </row>
    <row r="796" spans="1:21">
      <c r="A796">
        <v>44841</v>
      </c>
      <c r="B796" t="s">
        <v>980</v>
      </c>
      <c r="C796" t="s">
        <v>981</v>
      </c>
      <c r="D796" t="s">
        <v>163</v>
      </c>
      <c r="E796" t="s">
        <v>167</v>
      </c>
      <c r="F796" t="s">
        <v>1597</v>
      </c>
      <c r="G796">
        <v>0.37013888888888891</v>
      </c>
      <c r="H796" t="s">
        <v>1594</v>
      </c>
      <c r="I796">
        <v>0.83888888888888891</v>
      </c>
      <c r="J796">
        <v>0</v>
      </c>
      <c r="K796">
        <v>0</v>
      </c>
      <c r="L796">
        <v>0</v>
      </c>
      <c r="M796">
        <v>200</v>
      </c>
      <c r="N796">
        <v>0</v>
      </c>
      <c r="O796">
        <v>0</v>
      </c>
      <c r="P796" t="s">
        <v>1595</v>
      </c>
      <c r="S796">
        <v>11.250000000000002</v>
      </c>
      <c r="T796">
        <v>200</v>
      </c>
      <c r="U796">
        <v>200</v>
      </c>
    </row>
    <row r="797" spans="1:21">
      <c r="A797">
        <v>44842</v>
      </c>
      <c r="B797" t="s">
        <v>980</v>
      </c>
      <c r="C797" t="s">
        <v>981</v>
      </c>
      <c r="D797" t="s">
        <v>163</v>
      </c>
      <c r="E797" t="s">
        <v>167</v>
      </c>
      <c r="F797" t="s">
        <v>1597</v>
      </c>
      <c r="G797">
        <v>0.33333333333333331</v>
      </c>
      <c r="H797" t="s">
        <v>1598</v>
      </c>
      <c r="I797">
        <v>0.86111111111111116</v>
      </c>
      <c r="J797">
        <v>0</v>
      </c>
      <c r="K797">
        <v>0</v>
      </c>
      <c r="L797">
        <v>0</v>
      </c>
      <c r="M797">
        <v>200</v>
      </c>
      <c r="N797">
        <v>60</v>
      </c>
      <c r="O797">
        <v>0</v>
      </c>
      <c r="P797" t="s">
        <v>1595</v>
      </c>
      <c r="S797">
        <v>12.666666666666664</v>
      </c>
      <c r="T797">
        <v>200</v>
      </c>
      <c r="U797">
        <v>260</v>
      </c>
    </row>
    <row r="798" spans="1:21">
      <c r="A798">
        <v>44844</v>
      </c>
      <c r="B798" t="s">
        <v>980</v>
      </c>
      <c r="C798" t="s">
        <v>981</v>
      </c>
      <c r="D798" t="s">
        <v>163</v>
      </c>
      <c r="E798" t="s">
        <v>167</v>
      </c>
      <c r="F798" t="s">
        <v>1594</v>
      </c>
      <c r="G798">
        <v>0.34375</v>
      </c>
      <c r="H798" t="s">
        <v>1598</v>
      </c>
      <c r="I798">
        <v>0.85416666666666663</v>
      </c>
      <c r="J798">
        <v>0</v>
      </c>
      <c r="K798">
        <v>0</v>
      </c>
      <c r="L798">
        <v>0</v>
      </c>
      <c r="M798">
        <v>200</v>
      </c>
      <c r="N798">
        <v>0</v>
      </c>
      <c r="O798">
        <v>0</v>
      </c>
      <c r="P798" t="s">
        <v>1595</v>
      </c>
      <c r="S798">
        <v>12.25</v>
      </c>
      <c r="T798">
        <v>200</v>
      </c>
      <c r="U798">
        <v>200</v>
      </c>
    </row>
    <row r="799" spans="1:21">
      <c r="A799">
        <v>44845</v>
      </c>
      <c r="B799" t="s">
        <v>980</v>
      </c>
      <c r="C799" t="s">
        <v>981</v>
      </c>
      <c r="D799" t="s">
        <v>163</v>
      </c>
      <c r="E799" t="s">
        <v>167</v>
      </c>
      <c r="F799" t="s">
        <v>1599</v>
      </c>
      <c r="G799">
        <v>0.35972222222222222</v>
      </c>
      <c r="H799" t="s">
        <v>1599</v>
      </c>
      <c r="I799">
        <v>0.80625000000000002</v>
      </c>
      <c r="J799">
        <v>0</v>
      </c>
      <c r="K799">
        <v>0</v>
      </c>
      <c r="L799">
        <v>0</v>
      </c>
      <c r="M799">
        <v>200</v>
      </c>
      <c r="N799">
        <v>0</v>
      </c>
      <c r="O799">
        <v>0</v>
      </c>
      <c r="P799" t="s">
        <v>1595</v>
      </c>
      <c r="S799">
        <v>10.716666666666667</v>
      </c>
      <c r="T799">
        <v>200</v>
      </c>
      <c r="U799">
        <v>200</v>
      </c>
    </row>
    <row r="800" spans="1:21">
      <c r="A800">
        <v>44846</v>
      </c>
      <c r="B800" t="s">
        <v>980</v>
      </c>
      <c r="C800" t="s">
        <v>981</v>
      </c>
      <c r="D800" t="s">
        <v>163</v>
      </c>
      <c r="E800" t="s">
        <v>167</v>
      </c>
      <c r="F800" t="s">
        <v>1599</v>
      </c>
      <c r="G800">
        <v>0.3659722222222222</v>
      </c>
      <c r="H800" t="s">
        <v>1598</v>
      </c>
      <c r="I800">
        <v>0.8520833333333333</v>
      </c>
      <c r="J800">
        <v>550</v>
      </c>
      <c r="K800">
        <v>0</v>
      </c>
      <c r="L800">
        <v>0</v>
      </c>
      <c r="M800">
        <v>200</v>
      </c>
      <c r="N800">
        <v>0</v>
      </c>
      <c r="O800">
        <v>0</v>
      </c>
      <c r="P800" t="s">
        <v>1595</v>
      </c>
      <c r="S800">
        <v>11.666666666666666</v>
      </c>
      <c r="T800">
        <v>200</v>
      </c>
      <c r="U800">
        <v>750</v>
      </c>
    </row>
    <row r="801" spans="1:21">
      <c r="A801">
        <v>44847</v>
      </c>
      <c r="B801" t="s">
        <v>980</v>
      </c>
      <c r="C801" t="s">
        <v>981</v>
      </c>
      <c r="D801" t="s">
        <v>163</v>
      </c>
      <c r="E801" t="s">
        <v>167</v>
      </c>
      <c r="F801" t="s">
        <v>1599</v>
      </c>
      <c r="G801">
        <v>0.3659722222222222</v>
      </c>
      <c r="H801" t="s">
        <v>1599</v>
      </c>
      <c r="I801">
        <v>0.82847222222222228</v>
      </c>
      <c r="J801">
        <v>0</v>
      </c>
      <c r="K801">
        <v>0</v>
      </c>
      <c r="L801">
        <v>0</v>
      </c>
      <c r="M801">
        <v>200</v>
      </c>
      <c r="N801">
        <v>0</v>
      </c>
      <c r="O801">
        <v>0</v>
      </c>
      <c r="P801" t="s">
        <v>1595</v>
      </c>
      <c r="S801">
        <v>11.1</v>
      </c>
      <c r="T801">
        <v>200</v>
      </c>
      <c r="U801">
        <v>200</v>
      </c>
    </row>
    <row r="802" spans="1:21">
      <c r="A802">
        <v>44848</v>
      </c>
      <c r="B802" t="s">
        <v>980</v>
      </c>
      <c r="C802" t="s">
        <v>981</v>
      </c>
      <c r="D802" t="s">
        <v>163</v>
      </c>
      <c r="E802" t="s">
        <v>167</v>
      </c>
      <c r="F802" t="s">
        <v>1596</v>
      </c>
      <c r="G802">
        <v>0.37916666666666665</v>
      </c>
      <c r="H802" t="s">
        <v>1598</v>
      </c>
      <c r="I802">
        <v>0.8</v>
      </c>
      <c r="J802">
        <v>0</v>
      </c>
      <c r="K802">
        <v>0</v>
      </c>
      <c r="L802">
        <v>0</v>
      </c>
      <c r="M802">
        <v>200</v>
      </c>
      <c r="N802">
        <v>0</v>
      </c>
      <c r="O802">
        <v>0</v>
      </c>
      <c r="P802" t="s">
        <v>1595</v>
      </c>
      <c r="S802">
        <v>10.099999999999998</v>
      </c>
      <c r="T802">
        <v>200</v>
      </c>
      <c r="U802">
        <v>200</v>
      </c>
    </row>
    <row r="803" spans="1:21">
      <c r="A803">
        <v>44849</v>
      </c>
      <c r="B803" t="s">
        <v>980</v>
      </c>
      <c r="C803" t="s">
        <v>981</v>
      </c>
      <c r="D803" t="s">
        <v>163</v>
      </c>
      <c r="E803" t="s">
        <v>167</v>
      </c>
      <c r="F803" t="s">
        <v>1596</v>
      </c>
      <c r="G803">
        <v>0.3527777777777778</v>
      </c>
      <c r="H803" t="s">
        <v>1598</v>
      </c>
      <c r="I803">
        <v>0.84097222222222223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 t="s">
        <v>1595</v>
      </c>
      <c r="S803">
        <v>11.716666666666669</v>
      </c>
      <c r="T803">
        <v>200</v>
      </c>
      <c r="U803">
        <v>200</v>
      </c>
    </row>
    <row r="804" spans="1:21">
      <c r="A804">
        <v>44835</v>
      </c>
      <c r="B804" t="s">
        <v>94</v>
      </c>
      <c r="C804" t="s">
        <v>95</v>
      </c>
      <c r="D804" t="s">
        <v>163</v>
      </c>
      <c r="E804" t="s">
        <v>168</v>
      </c>
      <c r="F804" t="s">
        <v>1600</v>
      </c>
      <c r="G804">
        <v>0.31805555555555554</v>
      </c>
      <c r="H804" t="s">
        <v>1600</v>
      </c>
      <c r="I804">
        <v>0.93263888888888891</v>
      </c>
      <c r="J804">
        <v>1350</v>
      </c>
      <c r="K804">
        <v>0</v>
      </c>
      <c r="L804">
        <v>0</v>
      </c>
      <c r="M804">
        <v>0</v>
      </c>
      <c r="N804">
        <v>0</v>
      </c>
      <c r="O804">
        <v>0</v>
      </c>
      <c r="P804" t="s">
        <v>234</v>
      </c>
      <c r="S804">
        <v>14.749999999999998</v>
      </c>
      <c r="T804">
        <v>250</v>
      </c>
      <c r="U804">
        <v>1600</v>
      </c>
    </row>
    <row r="805" spans="1:21">
      <c r="A805">
        <v>44837</v>
      </c>
      <c r="B805" t="s">
        <v>94</v>
      </c>
      <c r="C805" t="s">
        <v>95</v>
      </c>
      <c r="D805" t="s">
        <v>163</v>
      </c>
      <c r="E805" t="s">
        <v>168</v>
      </c>
      <c r="F805" t="s">
        <v>1600</v>
      </c>
      <c r="G805">
        <v>0.33750000000000002</v>
      </c>
      <c r="H805" t="s">
        <v>1601</v>
      </c>
      <c r="I805">
        <v>0.91180555555555554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 t="s">
        <v>234</v>
      </c>
      <c r="S805">
        <v>13.783333333333335</v>
      </c>
      <c r="T805">
        <v>250</v>
      </c>
      <c r="U805">
        <v>250</v>
      </c>
    </row>
    <row r="806" spans="1:21">
      <c r="A806">
        <v>44838</v>
      </c>
      <c r="B806" t="s">
        <v>94</v>
      </c>
      <c r="C806" t="s">
        <v>95</v>
      </c>
      <c r="D806" t="s">
        <v>163</v>
      </c>
      <c r="E806" t="s">
        <v>168</v>
      </c>
      <c r="F806" t="s">
        <v>1601</v>
      </c>
      <c r="G806">
        <v>0.29375000000000001</v>
      </c>
      <c r="H806" t="s">
        <v>1600</v>
      </c>
      <c r="I806">
        <v>0.93125000000000002</v>
      </c>
      <c r="J806">
        <v>205</v>
      </c>
      <c r="K806">
        <v>0</v>
      </c>
      <c r="L806">
        <v>0</v>
      </c>
      <c r="M806">
        <v>250</v>
      </c>
      <c r="N806">
        <v>0</v>
      </c>
      <c r="O806">
        <v>0</v>
      </c>
      <c r="P806" t="s">
        <v>234</v>
      </c>
      <c r="S806">
        <v>15.299999999999999</v>
      </c>
      <c r="T806">
        <v>250</v>
      </c>
      <c r="U806">
        <v>455</v>
      </c>
    </row>
    <row r="807" spans="1:21">
      <c r="A807">
        <v>44841</v>
      </c>
      <c r="B807" t="s">
        <v>94</v>
      </c>
      <c r="C807" t="s">
        <v>95</v>
      </c>
      <c r="D807" t="s">
        <v>163</v>
      </c>
      <c r="E807" t="s">
        <v>168</v>
      </c>
      <c r="F807" t="s">
        <v>1132</v>
      </c>
      <c r="G807">
        <v>0.82499999999999996</v>
      </c>
      <c r="H807" t="s">
        <v>1132</v>
      </c>
      <c r="I807">
        <v>0.82499999999999996</v>
      </c>
      <c r="J807">
        <v>165</v>
      </c>
      <c r="K807">
        <v>0</v>
      </c>
      <c r="L807">
        <v>0</v>
      </c>
      <c r="M807">
        <v>0</v>
      </c>
      <c r="N807">
        <v>0</v>
      </c>
      <c r="O807">
        <v>0</v>
      </c>
      <c r="P807" t="s">
        <v>234</v>
      </c>
      <c r="S807">
        <v>0</v>
      </c>
      <c r="T807">
        <v>0</v>
      </c>
      <c r="U807">
        <v>165</v>
      </c>
    </row>
    <row r="808" spans="1:21">
      <c r="A808">
        <v>44842</v>
      </c>
      <c r="B808" t="s">
        <v>94</v>
      </c>
      <c r="C808" t="s">
        <v>95</v>
      </c>
      <c r="D808" t="s">
        <v>163</v>
      </c>
      <c r="E808" t="s">
        <v>168</v>
      </c>
      <c r="F808" t="s">
        <v>1132</v>
      </c>
      <c r="G808">
        <v>0.37291666666666667</v>
      </c>
      <c r="H808" t="s">
        <v>1600</v>
      </c>
      <c r="I808">
        <v>0.93055555555555558</v>
      </c>
      <c r="J808">
        <v>165</v>
      </c>
      <c r="K808">
        <v>849</v>
      </c>
      <c r="L808">
        <v>0</v>
      </c>
      <c r="M808">
        <v>250</v>
      </c>
      <c r="N808">
        <v>0</v>
      </c>
      <c r="O808">
        <v>0</v>
      </c>
      <c r="P808" t="s">
        <v>234</v>
      </c>
      <c r="S808">
        <v>13.383333333333331</v>
      </c>
      <c r="T808">
        <v>0</v>
      </c>
      <c r="U808">
        <v>1014</v>
      </c>
    </row>
    <row r="809" spans="1:21">
      <c r="A809">
        <v>44844</v>
      </c>
      <c r="B809" t="s">
        <v>94</v>
      </c>
      <c r="C809" t="s">
        <v>95</v>
      </c>
      <c r="D809" t="s">
        <v>163</v>
      </c>
      <c r="E809" t="s">
        <v>168</v>
      </c>
      <c r="F809" t="s">
        <v>1600</v>
      </c>
      <c r="G809">
        <v>0.29583333333333334</v>
      </c>
      <c r="H809" t="s">
        <v>1600</v>
      </c>
      <c r="I809">
        <v>0.88611111111111107</v>
      </c>
      <c r="J809">
        <v>100</v>
      </c>
      <c r="K809">
        <v>0</v>
      </c>
      <c r="L809">
        <v>0</v>
      </c>
      <c r="M809">
        <v>250</v>
      </c>
      <c r="N809">
        <v>0</v>
      </c>
      <c r="O809">
        <v>0</v>
      </c>
      <c r="P809" t="s">
        <v>234</v>
      </c>
      <c r="S809">
        <v>14.166666666666664</v>
      </c>
      <c r="T809">
        <v>250</v>
      </c>
      <c r="U809">
        <v>350</v>
      </c>
    </row>
    <row r="810" spans="1:21">
      <c r="A810">
        <v>44845</v>
      </c>
      <c r="B810" t="s">
        <v>94</v>
      </c>
      <c r="C810" t="s">
        <v>95</v>
      </c>
      <c r="D810" t="s">
        <v>163</v>
      </c>
      <c r="E810" t="s">
        <v>168</v>
      </c>
      <c r="F810" t="s">
        <v>1600</v>
      </c>
      <c r="G810">
        <v>0.32708333333333334</v>
      </c>
      <c r="H810" t="s">
        <v>1602</v>
      </c>
      <c r="I810">
        <v>0.93125000000000002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 t="s">
        <v>234</v>
      </c>
      <c r="S810">
        <v>14.499999999999996</v>
      </c>
      <c r="T810">
        <v>250</v>
      </c>
      <c r="U810">
        <v>250</v>
      </c>
    </row>
    <row r="811" spans="1:21">
      <c r="A811">
        <v>44847</v>
      </c>
      <c r="B811" t="s">
        <v>94</v>
      </c>
      <c r="C811" t="s">
        <v>95</v>
      </c>
      <c r="D811" t="s">
        <v>163</v>
      </c>
      <c r="E811" t="s">
        <v>168</v>
      </c>
      <c r="F811" t="s">
        <v>1600</v>
      </c>
      <c r="G811">
        <v>0.11944444444444445</v>
      </c>
      <c r="H811" t="s">
        <v>1600</v>
      </c>
      <c r="I811">
        <v>0.87361111111111112</v>
      </c>
      <c r="J811">
        <v>360</v>
      </c>
      <c r="K811">
        <v>0</v>
      </c>
      <c r="L811">
        <v>0</v>
      </c>
      <c r="M811">
        <v>250</v>
      </c>
      <c r="N811">
        <v>0</v>
      </c>
      <c r="O811">
        <v>0</v>
      </c>
      <c r="P811" t="s">
        <v>234</v>
      </c>
      <c r="S811">
        <v>18.100000000000001</v>
      </c>
      <c r="T811">
        <v>250</v>
      </c>
      <c r="U811">
        <v>610</v>
      </c>
    </row>
    <row r="812" spans="1:21">
      <c r="A812">
        <v>44848</v>
      </c>
      <c r="B812" t="s">
        <v>94</v>
      </c>
      <c r="C812" t="s">
        <v>95</v>
      </c>
      <c r="D812" t="s">
        <v>163</v>
      </c>
      <c r="E812" t="s">
        <v>168</v>
      </c>
      <c r="F812" t="s">
        <v>1600</v>
      </c>
      <c r="G812">
        <v>0.33541666666666664</v>
      </c>
      <c r="H812" t="s">
        <v>1600</v>
      </c>
      <c r="I812">
        <v>0.90694444444444444</v>
      </c>
      <c r="J812">
        <v>0</v>
      </c>
      <c r="K812">
        <v>0</v>
      </c>
      <c r="L812">
        <v>0</v>
      </c>
      <c r="M812">
        <v>0</v>
      </c>
      <c r="N812">
        <v>160</v>
      </c>
      <c r="O812">
        <v>0</v>
      </c>
      <c r="P812" t="s">
        <v>234</v>
      </c>
      <c r="S812">
        <v>13.716666666666669</v>
      </c>
      <c r="T812">
        <v>250</v>
      </c>
      <c r="U812">
        <v>410</v>
      </c>
    </row>
    <row r="813" spans="1:21">
      <c r="A813">
        <v>44849</v>
      </c>
      <c r="B813" t="s">
        <v>94</v>
      </c>
      <c r="C813" t="s">
        <v>95</v>
      </c>
      <c r="D813" t="s">
        <v>163</v>
      </c>
      <c r="E813" t="s">
        <v>168</v>
      </c>
      <c r="F813" t="s">
        <v>1600</v>
      </c>
      <c r="G813">
        <v>0.30833333333333335</v>
      </c>
      <c r="H813" t="s">
        <v>1600</v>
      </c>
      <c r="I813">
        <v>0.88958333333333328</v>
      </c>
      <c r="J813">
        <v>0</v>
      </c>
      <c r="K813">
        <v>0</v>
      </c>
      <c r="L813">
        <v>175</v>
      </c>
      <c r="M813">
        <v>0</v>
      </c>
      <c r="N813">
        <v>0</v>
      </c>
      <c r="O813">
        <v>0</v>
      </c>
      <c r="P813" t="s">
        <v>234</v>
      </c>
      <c r="S813">
        <v>13.95</v>
      </c>
      <c r="T813">
        <v>250</v>
      </c>
      <c r="U813">
        <v>425</v>
      </c>
    </row>
    <row r="814" spans="1:21">
      <c r="A814">
        <v>44836</v>
      </c>
      <c r="B814" t="s">
        <v>45</v>
      </c>
      <c r="C814" t="s">
        <v>46</v>
      </c>
      <c r="D814" t="s">
        <v>163</v>
      </c>
      <c r="E814" t="s">
        <v>211</v>
      </c>
      <c r="F814" t="s">
        <v>1603</v>
      </c>
      <c r="G814">
        <v>0.4513888888888889</v>
      </c>
      <c r="H814" t="s">
        <v>1603</v>
      </c>
      <c r="I814">
        <v>0.4513888888888889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 t="s">
        <v>238</v>
      </c>
      <c r="S814">
        <v>0</v>
      </c>
      <c r="T814">
        <v>0</v>
      </c>
      <c r="U814">
        <v>0</v>
      </c>
    </row>
    <row r="815" spans="1:21">
      <c r="A815">
        <v>44838</v>
      </c>
      <c r="B815" t="s">
        <v>45</v>
      </c>
      <c r="C815" t="s">
        <v>46</v>
      </c>
      <c r="D815" t="s">
        <v>163</v>
      </c>
      <c r="E815" t="s">
        <v>211</v>
      </c>
      <c r="F815" t="s">
        <v>1604</v>
      </c>
      <c r="G815">
        <v>0.3576388888888889</v>
      </c>
      <c r="H815" t="s">
        <v>1605</v>
      </c>
      <c r="I815">
        <v>0.4826388888888889</v>
      </c>
      <c r="J815">
        <v>1500</v>
      </c>
      <c r="K815">
        <v>0</v>
      </c>
      <c r="L815">
        <v>0</v>
      </c>
      <c r="M815">
        <v>879</v>
      </c>
      <c r="N815">
        <v>0</v>
      </c>
      <c r="O815">
        <v>0</v>
      </c>
      <c r="P815" t="s">
        <v>238</v>
      </c>
      <c r="S815">
        <v>3</v>
      </c>
      <c r="T815">
        <v>0</v>
      </c>
      <c r="U815">
        <v>1500</v>
      </c>
    </row>
    <row r="816" spans="1:21">
      <c r="A816">
        <v>44840</v>
      </c>
      <c r="B816" t="s">
        <v>45</v>
      </c>
      <c r="C816" t="s">
        <v>46</v>
      </c>
      <c r="D816" t="s">
        <v>163</v>
      </c>
      <c r="E816" t="s">
        <v>211</v>
      </c>
      <c r="F816" t="s">
        <v>1605</v>
      </c>
      <c r="G816">
        <v>0.4826388888888889</v>
      </c>
      <c r="H816" t="s">
        <v>1606</v>
      </c>
      <c r="I816">
        <v>0.86388888888888893</v>
      </c>
      <c r="J816">
        <v>0</v>
      </c>
      <c r="K816">
        <v>0</v>
      </c>
      <c r="L816">
        <v>350</v>
      </c>
      <c r="M816">
        <v>0</v>
      </c>
      <c r="N816">
        <v>0</v>
      </c>
      <c r="O816">
        <v>0</v>
      </c>
      <c r="P816" t="s">
        <v>238</v>
      </c>
      <c r="S816">
        <v>9.1499999999999986</v>
      </c>
      <c r="T816">
        <v>350</v>
      </c>
      <c r="U816">
        <v>700</v>
      </c>
    </row>
    <row r="817" spans="1:21">
      <c r="A817">
        <v>44842</v>
      </c>
      <c r="B817" t="s">
        <v>45</v>
      </c>
      <c r="C817" t="s">
        <v>46</v>
      </c>
      <c r="D817" t="s">
        <v>163</v>
      </c>
      <c r="E817" t="s">
        <v>211</v>
      </c>
      <c r="F817" t="s">
        <v>1607</v>
      </c>
      <c r="G817">
        <v>0.46319444444444446</v>
      </c>
      <c r="H817" t="s">
        <v>1608</v>
      </c>
      <c r="I817">
        <v>0.39097222222222222</v>
      </c>
      <c r="J817">
        <v>2000</v>
      </c>
      <c r="K817">
        <v>0</v>
      </c>
      <c r="L817">
        <v>0</v>
      </c>
      <c r="M817">
        <v>0</v>
      </c>
      <c r="N817">
        <v>0</v>
      </c>
      <c r="O817">
        <v>0</v>
      </c>
      <c r="P817" t="s">
        <v>238</v>
      </c>
      <c r="S817">
        <v>22.266666666666666</v>
      </c>
      <c r="T817">
        <v>350</v>
      </c>
      <c r="U817">
        <v>2350</v>
      </c>
    </row>
    <row r="818" spans="1:21">
      <c r="A818">
        <v>44843</v>
      </c>
      <c r="B818" t="s">
        <v>45</v>
      </c>
      <c r="C818" t="s">
        <v>46</v>
      </c>
      <c r="D818" t="s">
        <v>163</v>
      </c>
      <c r="E818" t="s">
        <v>211</v>
      </c>
      <c r="F818" t="s">
        <v>1608</v>
      </c>
      <c r="G818">
        <v>0.39097222222222222</v>
      </c>
      <c r="H818" t="s">
        <v>1608</v>
      </c>
      <c r="I818">
        <v>0.33124999999999999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 t="s">
        <v>238</v>
      </c>
      <c r="S818">
        <v>22.566666666666666</v>
      </c>
      <c r="T818">
        <v>350</v>
      </c>
      <c r="U818">
        <v>350</v>
      </c>
    </row>
    <row r="819" spans="1:21">
      <c r="A819">
        <v>44844</v>
      </c>
      <c r="B819" t="s">
        <v>45</v>
      </c>
      <c r="C819" t="s">
        <v>46</v>
      </c>
      <c r="D819" t="s">
        <v>163</v>
      </c>
      <c r="E819" t="s">
        <v>211</v>
      </c>
      <c r="F819" t="s">
        <v>1608</v>
      </c>
      <c r="G819">
        <v>0.33124999999999999</v>
      </c>
      <c r="H819" t="s">
        <v>1609</v>
      </c>
      <c r="I819">
        <v>0.92777777777777781</v>
      </c>
      <c r="J819">
        <v>2000</v>
      </c>
      <c r="K819">
        <v>0</v>
      </c>
      <c r="L819">
        <v>0</v>
      </c>
      <c r="M819">
        <v>0</v>
      </c>
      <c r="N819">
        <v>0</v>
      </c>
      <c r="O819">
        <v>0</v>
      </c>
      <c r="P819" t="s">
        <v>238</v>
      </c>
      <c r="S819">
        <v>14.316666666666666</v>
      </c>
      <c r="T819">
        <v>350</v>
      </c>
      <c r="U819">
        <v>2350</v>
      </c>
    </row>
    <row r="820" spans="1:21">
      <c r="A820">
        <v>44845</v>
      </c>
      <c r="B820" t="s">
        <v>45</v>
      </c>
      <c r="C820" t="s">
        <v>46</v>
      </c>
      <c r="D820" t="s">
        <v>163</v>
      </c>
      <c r="E820" t="s">
        <v>211</v>
      </c>
      <c r="G820">
        <v>0</v>
      </c>
      <c r="I820">
        <v>0</v>
      </c>
      <c r="J820">
        <v>0</v>
      </c>
      <c r="K820">
        <v>7000</v>
      </c>
      <c r="L820">
        <v>0</v>
      </c>
      <c r="M820">
        <v>0</v>
      </c>
      <c r="N820">
        <v>0</v>
      </c>
      <c r="O820">
        <v>0</v>
      </c>
      <c r="P820" t="s">
        <v>238</v>
      </c>
      <c r="S820">
        <v>0</v>
      </c>
      <c r="T820">
        <v>0</v>
      </c>
      <c r="U820">
        <v>7000</v>
      </c>
    </row>
    <row r="821" spans="1:21">
      <c r="A821">
        <v>44846</v>
      </c>
      <c r="B821" t="s">
        <v>45</v>
      </c>
      <c r="C821" t="s">
        <v>46</v>
      </c>
      <c r="D821" t="s">
        <v>163</v>
      </c>
      <c r="E821" t="s">
        <v>211</v>
      </c>
      <c r="F821" t="s">
        <v>1610</v>
      </c>
      <c r="G821">
        <v>0.24930555555555556</v>
      </c>
      <c r="H821" t="s">
        <v>1606</v>
      </c>
      <c r="I821">
        <v>0.44444444444444442</v>
      </c>
      <c r="J821">
        <v>0</v>
      </c>
      <c r="K821">
        <v>0</v>
      </c>
      <c r="L821">
        <v>350</v>
      </c>
      <c r="M821">
        <v>0</v>
      </c>
      <c r="N821">
        <v>0</v>
      </c>
      <c r="O821">
        <v>0</v>
      </c>
      <c r="P821" t="s">
        <v>238</v>
      </c>
      <c r="S821">
        <v>4.6833333333333327</v>
      </c>
      <c r="T821">
        <v>175</v>
      </c>
      <c r="U821">
        <v>525</v>
      </c>
    </row>
    <row r="822" spans="1:21">
      <c r="A822">
        <v>44847</v>
      </c>
      <c r="B822" t="s">
        <v>45</v>
      </c>
      <c r="C822" t="s">
        <v>46</v>
      </c>
      <c r="D822" t="s">
        <v>163</v>
      </c>
      <c r="E822" t="s">
        <v>211</v>
      </c>
      <c r="F822" t="s">
        <v>1606</v>
      </c>
      <c r="G822">
        <v>0.44444444444444442</v>
      </c>
      <c r="H822" t="s">
        <v>1611</v>
      </c>
      <c r="I822">
        <v>0.3125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 t="s">
        <v>238</v>
      </c>
      <c r="S822">
        <v>20.833333333333336</v>
      </c>
      <c r="T822">
        <v>350</v>
      </c>
      <c r="U822">
        <v>350</v>
      </c>
    </row>
    <row r="823" spans="1:21">
      <c r="A823">
        <v>44848</v>
      </c>
      <c r="B823" t="s">
        <v>45</v>
      </c>
      <c r="C823" t="s">
        <v>46</v>
      </c>
      <c r="D823" t="s">
        <v>163</v>
      </c>
      <c r="E823" t="s">
        <v>211</v>
      </c>
      <c r="F823" t="s">
        <v>1611</v>
      </c>
      <c r="G823">
        <v>0.3125</v>
      </c>
      <c r="H823" t="s">
        <v>1606</v>
      </c>
      <c r="I823">
        <v>0.37291666666666667</v>
      </c>
      <c r="J823">
        <v>1500</v>
      </c>
      <c r="K823">
        <v>0</v>
      </c>
      <c r="L823">
        <v>350</v>
      </c>
      <c r="M823">
        <v>0</v>
      </c>
      <c r="N823">
        <v>0</v>
      </c>
      <c r="O823">
        <v>0</v>
      </c>
      <c r="P823" t="s">
        <v>238</v>
      </c>
      <c r="S823">
        <v>1.4500000000000002</v>
      </c>
      <c r="T823">
        <v>0</v>
      </c>
      <c r="U823">
        <v>1850</v>
      </c>
    </row>
    <row r="824" spans="1:21">
      <c r="A824">
        <v>44835</v>
      </c>
      <c r="B824" t="s">
        <v>1003</v>
      </c>
      <c r="C824" t="s">
        <v>1004</v>
      </c>
      <c r="D824" t="s">
        <v>163</v>
      </c>
      <c r="E824" t="s">
        <v>167</v>
      </c>
      <c r="F824" t="s">
        <v>1612</v>
      </c>
      <c r="G824">
        <v>0.33541666666666664</v>
      </c>
      <c r="H824" t="s">
        <v>1613</v>
      </c>
      <c r="I824">
        <v>0.96180555555555558</v>
      </c>
      <c r="J824">
        <v>0</v>
      </c>
      <c r="K824">
        <v>0</v>
      </c>
      <c r="L824">
        <v>0</v>
      </c>
      <c r="M824">
        <v>200</v>
      </c>
      <c r="N824">
        <v>0</v>
      </c>
      <c r="O824">
        <v>0</v>
      </c>
      <c r="P824" t="s">
        <v>1614</v>
      </c>
      <c r="S824">
        <v>15.033333333333333</v>
      </c>
      <c r="T824">
        <v>200</v>
      </c>
      <c r="U824">
        <v>200</v>
      </c>
    </row>
    <row r="825" spans="1:21">
      <c r="A825">
        <v>44837</v>
      </c>
      <c r="B825" t="s">
        <v>1003</v>
      </c>
      <c r="C825" t="s">
        <v>1004</v>
      </c>
      <c r="D825" t="s">
        <v>163</v>
      </c>
      <c r="E825" t="s">
        <v>167</v>
      </c>
      <c r="F825" t="s">
        <v>1615</v>
      </c>
      <c r="G825">
        <v>0.37777777777777777</v>
      </c>
      <c r="H825" t="s">
        <v>1613</v>
      </c>
      <c r="I825">
        <v>0.93402777777777779</v>
      </c>
      <c r="J825">
        <v>500</v>
      </c>
      <c r="K825">
        <v>0</v>
      </c>
      <c r="L825">
        <v>0</v>
      </c>
      <c r="M825">
        <v>200</v>
      </c>
      <c r="N825">
        <v>46</v>
      </c>
      <c r="O825">
        <v>0</v>
      </c>
      <c r="P825" t="s">
        <v>1614</v>
      </c>
      <c r="S825">
        <v>13.350000000000001</v>
      </c>
      <c r="T825">
        <v>200</v>
      </c>
      <c r="U825">
        <v>746</v>
      </c>
    </row>
    <row r="826" spans="1:21">
      <c r="A826">
        <v>44838</v>
      </c>
      <c r="B826" t="s">
        <v>1003</v>
      </c>
      <c r="C826" t="s">
        <v>1004</v>
      </c>
      <c r="D826" t="s">
        <v>163</v>
      </c>
      <c r="E826" t="s">
        <v>167</v>
      </c>
      <c r="F826" t="s">
        <v>1613</v>
      </c>
      <c r="G826">
        <v>0.38750000000000001</v>
      </c>
      <c r="H826" t="s">
        <v>1613</v>
      </c>
      <c r="I826">
        <v>0.93125000000000002</v>
      </c>
      <c r="J826">
        <v>0</v>
      </c>
      <c r="K826">
        <v>0</v>
      </c>
      <c r="L826">
        <v>0</v>
      </c>
      <c r="M826">
        <v>200</v>
      </c>
      <c r="N826">
        <v>0</v>
      </c>
      <c r="O826">
        <v>350</v>
      </c>
      <c r="P826" t="s">
        <v>1614</v>
      </c>
      <c r="S826">
        <v>13.049999999999999</v>
      </c>
      <c r="T826">
        <v>200</v>
      </c>
      <c r="U826">
        <v>550</v>
      </c>
    </row>
    <row r="827" spans="1:21">
      <c r="A827">
        <v>44840</v>
      </c>
      <c r="B827" t="s">
        <v>1003</v>
      </c>
      <c r="C827" t="s">
        <v>1004</v>
      </c>
      <c r="D827" t="s">
        <v>163</v>
      </c>
      <c r="E827" t="s">
        <v>167</v>
      </c>
      <c r="F827" t="s">
        <v>1616</v>
      </c>
      <c r="G827">
        <v>0.38680555555555557</v>
      </c>
      <c r="H827" t="s">
        <v>1612</v>
      </c>
      <c r="I827">
        <v>0.95763888888888893</v>
      </c>
      <c r="J827">
        <v>0</v>
      </c>
      <c r="K827">
        <v>0</v>
      </c>
      <c r="L827">
        <v>0</v>
      </c>
      <c r="M827">
        <v>200</v>
      </c>
      <c r="N827">
        <v>47</v>
      </c>
      <c r="O827">
        <v>0</v>
      </c>
      <c r="P827" t="s">
        <v>1614</v>
      </c>
      <c r="S827">
        <v>13.7</v>
      </c>
      <c r="T827">
        <v>200</v>
      </c>
      <c r="U827">
        <v>247</v>
      </c>
    </row>
    <row r="828" spans="1:21">
      <c r="A828">
        <v>44841</v>
      </c>
      <c r="B828" t="s">
        <v>1003</v>
      </c>
      <c r="C828" t="s">
        <v>1004</v>
      </c>
      <c r="D828" t="s">
        <v>163</v>
      </c>
      <c r="E828" t="s">
        <v>167</v>
      </c>
      <c r="F828" t="s">
        <v>1617</v>
      </c>
      <c r="G828">
        <v>0.34791666666666665</v>
      </c>
      <c r="H828" t="s">
        <v>1132</v>
      </c>
      <c r="I828">
        <v>0.96250000000000002</v>
      </c>
      <c r="J828">
        <v>200</v>
      </c>
      <c r="K828">
        <v>0</v>
      </c>
      <c r="L828">
        <v>0</v>
      </c>
      <c r="M828">
        <v>0</v>
      </c>
      <c r="N828">
        <v>0</v>
      </c>
      <c r="O828">
        <v>0</v>
      </c>
      <c r="P828" t="s">
        <v>1614</v>
      </c>
      <c r="S828">
        <v>14.749999999999998</v>
      </c>
      <c r="T828">
        <v>200</v>
      </c>
      <c r="U828">
        <v>400</v>
      </c>
    </row>
    <row r="829" spans="1:21">
      <c r="A829">
        <v>44842</v>
      </c>
      <c r="B829" t="s">
        <v>1003</v>
      </c>
      <c r="C829" t="s">
        <v>1004</v>
      </c>
      <c r="D829" t="s">
        <v>163</v>
      </c>
      <c r="E829" t="s">
        <v>167</v>
      </c>
      <c r="F829" t="s">
        <v>1132</v>
      </c>
      <c r="G829">
        <v>0.37222222222222223</v>
      </c>
      <c r="H829" t="s">
        <v>1617</v>
      </c>
      <c r="I829">
        <v>0.99027777777777781</v>
      </c>
      <c r="J829">
        <v>190</v>
      </c>
      <c r="K829">
        <v>849</v>
      </c>
      <c r="L829">
        <v>0</v>
      </c>
      <c r="M829">
        <v>0</v>
      </c>
      <c r="N829">
        <v>0</v>
      </c>
      <c r="O829">
        <v>0</v>
      </c>
      <c r="P829" t="s">
        <v>1614</v>
      </c>
      <c r="S829">
        <v>14.833333333333332</v>
      </c>
      <c r="T829">
        <v>0</v>
      </c>
      <c r="U829">
        <v>1039</v>
      </c>
    </row>
    <row r="830" spans="1:21">
      <c r="A830">
        <v>44844</v>
      </c>
      <c r="B830" t="s">
        <v>1003</v>
      </c>
      <c r="C830" t="s">
        <v>1004</v>
      </c>
      <c r="D830" t="s">
        <v>163</v>
      </c>
      <c r="E830" t="s">
        <v>167</v>
      </c>
      <c r="F830" t="s">
        <v>1612</v>
      </c>
      <c r="G830">
        <v>0.38194444444444442</v>
      </c>
      <c r="H830" t="s">
        <v>1612</v>
      </c>
      <c r="I830">
        <v>0.91874999999999996</v>
      </c>
      <c r="J830">
        <v>500</v>
      </c>
      <c r="K830">
        <v>0</v>
      </c>
      <c r="L830">
        <v>0</v>
      </c>
      <c r="M830">
        <v>200</v>
      </c>
      <c r="N830">
        <v>0</v>
      </c>
      <c r="O830">
        <v>0</v>
      </c>
      <c r="P830" t="s">
        <v>1614</v>
      </c>
      <c r="S830">
        <v>12.883333333333333</v>
      </c>
      <c r="T830">
        <v>200</v>
      </c>
      <c r="U830">
        <v>700</v>
      </c>
    </row>
    <row r="831" spans="1:21">
      <c r="A831">
        <v>44845</v>
      </c>
      <c r="B831" t="s">
        <v>1003</v>
      </c>
      <c r="C831" t="s">
        <v>1004</v>
      </c>
      <c r="D831" t="s">
        <v>163</v>
      </c>
      <c r="E831" t="s">
        <v>167</v>
      </c>
      <c r="F831" t="s">
        <v>1612</v>
      </c>
      <c r="G831">
        <v>0.37430555555555556</v>
      </c>
      <c r="H831" t="s">
        <v>1618</v>
      </c>
      <c r="I831">
        <v>0.95972222222222225</v>
      </c>
      <c r="J831">
        <v>0</v>
      </c>
      <c r="K831">
        <v>0</v>
      </c>
      <c r="L831">
        <v>0</v>
      </c>
      <c r="M831">
        <v>200</v>
      </c>
      <c r="N831">
        <v>0</v>
      </c>
      <c r="O831">
        <v>0</v>
      </c>
      <c r="P831" t="s">
        <v>1614</v>
      </c>
      <c r="S831">
        <v>14.049999999999997</v>
      </c>
      <c r="T831">
        <v>200</v>
      </c>
      <c r="U831">
        <v>200</v>
      </c>
    </row>
    <row r="832" spans="1:21">
      <c r="A832">
        <v>44846</v>
      </c>
      <c r="B832" t="s">
        <v>1003</v>
      </c>
      <c r="C832" t="s">
        <v>1004</v>
      </c>
      <c r="D832" t="s">
        <v>163</v>
      </c>
      <c r="E832" t="s">
        <v>167</v>
      </c>
      <c r="F832" t="s">
        <v>1612</v>
      </c>
      <c r="G832">
        <v>0.41319444444444442</v>
      </c>
      <c r="H832" t="s">
        <v>1612</v>
      </c>
      <c r="I832">
        <v>0.9916666666666667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 t="s">
        <v>1614</v>
      </c>
      <c r="S832">
        <v>13.883333333333333</v>
      </c>
      <c r="T832">
        <v>200</v>
      </c>
      <c r="U832">
        <v>200</v>
      </c>
    </row>
    <row r="833" spans="1:21">
      <c r="A833">
        <v>44847</v>
      </c>
      <c r="B833" t="s">
        <v>1003</v>
      </c>
      <c r="C833" t="s">
        <v>1004</v>
      </c>
      <c r="D833" t="s">
        <v>163</v>
      </c>
      <c r="E833" t="s">
        <v>167</v>
      </c>
      <c r="F833" t="s">
        <v>1619</v>
      </c>
      <c r="G833">
        <v>0.375</v>
      </c>
      <c r="H833" t="s">
        <v>1612</v>
      </c>
      <c r="I833">
        <v>0.95347222222222228</v>
      </c>
      <c r="J833">
        <v>900</v>
      </c>
      <c r="K833">
        <v>0</v>
      </c>
      <c r="L833">
        <v>0</v>
      </c>
      <c r="M833">
        <v>200</v>
      </c>
      <c r="N833">
        <v>0</v>
      </c>
      <c r="O833">
        <v>0</v>
      </c>
      <c r="P833" t="s">
        <v>1614</v>
      </c>
      <c r="S833">
        <v>13.883333333333333</v>
      </c>
      <c r="T833">
        <v>200</v>
      </c>
      <c r="U833">
        <v>1100</v>
      </c>
    </row>
    <row r="834" spans="1:21">
      <c r="A834">
        <v>44848</v>
      </c>
      <c r="B834" t="s">
        <v>1003</v>
      </c>
      <c r="C834" t="s">
        <v>1004</v>
      </c>
      <c r="D834" t="s">
        <v>163</v>
      </c>
      <c r="E834" t="s">
        <v>167</v>
      </c>
      <c r="F834" t="s">
        <v>1612</v>
      </c>
      <c r="G834">
        <v>0.41666666666666669</v>
      </c>
      <c r="H834" t="s">
        <v>1613</v>
      </c>
      <c r="I834">
        <v>0.95277777777777772</v>
      </c>
      <c r="J834">
        <v>500</v>
      </c>
      <c r="K834">
        <v>0</v>
      </c>
      <c r="L834">
        <v>0</v>
      </c>
      <c r="M834">
        <v>200</v>
      </c>
      <c r="N834">
        <v>0</v>
      </c>
      <c r="O834">
        <v>0</v>
      </c>
      <c r="P834" t="s">
        <v>1614</v>
      </c>
      <c r="S834">
        <v>12.866666666666667</v>
      </c>
      <c r="T834">
        <v>200</v>
      </c>
      <c r="U834">
        <v>700</v>
      </c>
    </row>
    <row r="835" spans="1:21">
      <c r="A835">
        <v>44849</v>
      </c>
      <c r="B835" t="s">
        <v>1003</v>
      </c>
      <c r="C835" t="s">
        <v>1004</v>
      </c>
      <c r="D835" t="s">
        <v>163</v>
      </c>
      <c r="E835" t="s">
        <v>167</v>
      </c>
      <c r="F835" t="s">
        <v>1613</v>
      </c>
      <c r="G835">
        <v>0.38263888888888886</v>
      </c>
      <c r="H835" t="s">
        <v>1613</v>
      </c>
      <c r="I835">
        <v>0.92291666666666672</v>
      </c>
      <c r="J835">
        <v>0</v>
      </c>
      <c r="K835">
        <v>0</v>
      </c>
      <c r="L835">
        <v>0</v>
      </c>
      <c r="M835">
        <v>200</v>
      </c>
      <c r="N835">
        <v>0</v>
      </c>
      <c r="O835">
        <v>0</v>
      </c>
      <c r="P835" t="s">
        <v>1614</v>
      </c>
      <c r="S835">
        <v>12.966666666666665</v>
      </c>
      <c r="T835">
        <v>200</v>
      </c>
      <c r="U835">
        <v>200</v>
      </c>
    </row>
  </sheetData>
  <phoneticPr fontId="12" type="noConversion"/>
  <pageMargins left="0.70866141732283472" right="0.70866141732283472" top="0.74803149606299213" bottom="0.74803149606299213" header="0.31496062992125984" footer="0.31496062992125984"/>
  <pageSetup paperSize="9" scale="29" fitToHeight="0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6">
    <pageSetUpPr fitToPage="1"/>
  </sheetPr>
  <dimension ref="A1:BH32"/>
  <sheetViews>
    <sheetView showGridLines="0" zoomScaleNormal="100" workbookViewId="0">
      <selection activeCell="A2" sqref="A2"/>
    </sheetView>
  </sheetViews>
  <sheetFormatPr defaultColWidth="2.6640625" defaultRowHeight="14.7" customHeight="1"/>
  <cols>
    <col min="5" max="5" width="3" bestFit="1" customWidth="1"/>
    <col min="6" max="6" width="2.6640625" customWidth="1"/>
  </cols>
  <sheetData>
    <row r="1" spans="1:60" ht="14.7" customHeight="1">
      <c r="A1" s="7" t="s">
        <v>250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</row>
    <row r="2" spans="1:60" ht="14.7" customHeight="1">
      <c r="A2" s="19" t="s">
        <v>885</v>
      </c>
      <c r="B2" s="19"/>
      <c r="C2" s="19"/>
      <c r="D2" s="19"/>
      <c r="E2" s="19">
        <f>COUNTIFS(TravelExp[Employee Code],sEmp)</f>
        <v>5</v>
      </c>
    </row>
    <row r="3" spans="1:60" ht="14.7" customHeight="1">
      <c r="A3" s="17" t="s">
        <v>131</v>
      </c>
      <c r="D3" s="26" t="s">
        <v>132</v>
      </c>
      <c r="E3" s="17" t="str" cm="1">
        <f t="array" ref="E3">IFERROR(INDEX(TravelExp[Employee Name],sEmpPos) &amp; "(" &amp; sEmp &amp; ")","-")</f>
        <v>Sunil Jaykar(22MAH324)</v>
      </c>
      <c r="U3" s="17" t="s">
        <v>129</v>
      </c>
      <c r="Y3" s="26" t="s">
        <v>132</v>
      </c>
      <c r="Z3" s="17" t="str" cm="1">
        <f t="array" ref="Z3">IFERROR(INDEX(TravelExp[Designation],sEmpPos),"-")</f>
        <v>Marketing Representative-S3</v>
      </c>
      <c r="AM3" s="17" t="s">
        <v>122</v>
      </c>
      <c r="AQ3" s="26" t="s">
        <v>132</v>
      </c>
      <c r="AR3" s="17" t="str" cm="1">
        <f t="array" ref="AR3">IFERROR(INDEX(TravelExp[Department],sEmpPos),"-")</f>
        <v>Marketing</v>
      </c>
      <c r="BA3" s="17" t="s">
        <v>10</v>
      </c>
      <c r="BC3" s="26" t="s">
        <v>132</v>
      </c>
      <c r="BD3" s="17" t="str">
        <f ca="1">TEXT(TODAY(),"dd-mmm-yyyy")</f>
        <v>05-Jun-2023</v>
      </c>
    </row>
    <row r="4" spans="1:60" ht="14.7" customHeight="1">
      <c r="A4" s="17" t="s">
        <v>155</v>
      </c>
      <c r="D4" s="26" t="s">
        <v>132</v>
      </c>
      <c r="E4" s="17" t="str" cm="1">
        <f t="array" ref="E4">IFERROR(INDEX(TravelExp[ZoneAreaHQ],sEmpPos),"-")</f>
        <v>West/Maharashtra-01/SANGLI</v>
      </c>
    </row>
    <row r="5" spans="1:60" ht="14.7" customHeight="1">
      <c r="A5" s="66" t="s">
        <v>10</v>
      </c>
      <c r="B5" s="66"/>
      <c r="C5" s="66"/>
      <c r="D5" s="66"/>
      <c r="E5" s="66"/>
      <c r="F5" s="70" t="s">
        <v>143</v>
      </c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 t="s">
        <v>144</v>
      </c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7" t="s">
        <v>135</v>
      </c>
      <c r="AK5" s="77"/>
      <c r="AL5" s="77"/>
      <c r="AM5" s="77" t="s">
        <v>136</v>
      </c>
      <c r="AN5" s="77"/>
      <c r="AO5" s="77"/>
      <c r="AP5" s="77"/>
      <c r="AQ5" s="77"/>
      <c r="AR5" s="77"/>
      <c r="AS5" s="77" t="s">
        <v>138</v>
      </c>
      <c r="AT5" s="77"/>
      <c r="AU5" s="77"/>
      <c r="AV5" s="77" t="s">
        <v>139</v>
      </c>
      <c r="AW5" s="77"/>
      <c r="AX5" s="77"/>
      <c r="AY5" s="77" t="s">
        <v>140</v>
      </c>
      <c r="AZ5" s="77"/>
      <c r="BA5" s="77"/>
      <c r="BB5" s="83" t="s">
        <v>141</v>
      </c>
      <c r="BC5" s="84"/>
      <c r="BD5" s="84"/>
      <c r="BE5" s="85"/>
      <c r="BF5" s="77" t="s">
        <v>142</v>
      </c>
      <c r="BG5" s="77"/>
      <c r="BH5" s="77"/>
    </row>
    <row r="6" spans="1:60" ht="19.2" customHeight="1">
      <c r="A6" s="67"/>
      <c r="B6" s="67"/>
      <c r="C6" s="67"/>
      <c r="D6" s="67"/>
      <c r="E6" s="67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8"/>
      <c r="AK6" s="78"/>
      <c r="AL6" s="78"/>
      <c r="AM6" s="82"/>
      <c r="AN6" s="82"/>
      <c r="AO6" s="82"/>
      <c r="AP6" s="82"/>
      <c r="AQ6" s="82"/>
      <c r="AR6" s="82"/>
      <c r="AS6" s="78"/>
      <c r="AT6" s="78"/>
      <c r="AU6" s="78"/>
      <c r="AV6" s="78"/>
      <c r="AW6" s="78"/>
      <c r="AX6" s="78"/>
      <c r="AY6" s="78"/>
      <c r="AZ6" s="78"/>
      <c r="BA6" s="78"/>
      <c r="BB6" s="86"/>
      <c r="BC6" s="87"/>
      <c r="BD6" s="87"/>
      <c r="BE6" s="88"/>
      <c r="BF6" s="78"/>
      <c r="BG6" s="78"/>
      <c r="BH6" s="78"/>
    </row>
    <row r="7" spans="1:60" ht="36" customHeight="1">
      <c r="A7" s="68" t="s">
        <v>145</v>
      </c>
      <c r="B7" s="68"/>
      <c r="C7" s="68"/>
      <c r="D7" s="68"/>
      <c r="E7" s="68"/>
      <c r="F7" s="70" t="s">
        <v>133</v>
      </c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 t="s">
        <v>134</v>
      </c>
      <c r="T7" s="70"/>
      <c r="U7" s="70" t="s">
        <v>133</v>
      </c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 t="s">
        <v>134</v>
      </c>
      <c r="AI7" s="70"/>
      <c r="AJ7" s="79"/>
      <c r="AK7" s="79"/>
      <c r="AL7" s="79"/>
      <c r="AM7" s="81" t="s">
        <v>241</v>
      </c>
      <c r="AN7" s="81"/>
      <c r="AO7" s="81"/>
      <c r="AP7" s="98" t="s">
        <v>137</v>
      </c>
      <c r="AQ7" s="98"/>
      <c r="AR7" s="98"/>
      <c r="AS7" s="79"/>
      <c r="AT7" s="79"/>
      <c r="AU7" s="79"/>
      <c r="AV7" s="79"/>
      <c r="AW7" s="79"/>
      <c r="AX7" s="79"/>
      <c r="AY7" s="79"/>
      <c r="AZ7" s="79"/>
      <c r="BA7" s="79"/>
      <c r="BB7" s="89" t="s">
        <v>169</v>
      </c>
      <c r="BC7" s="90"/>
      <c r="BD7" s="90"/>
      <c r="BE7" s="91"/>
      <c r="BF7" s="79"/>
      <c r="BG7" s="79"/>
      <c r="BH7" s="79"/>
    </row>
    <row r="8" spans="1:60" ht="26.4" customHeight="1">
      <c r="A8" s="55" t="str" cm="1">
        <f t="array" ref="A8">IFERROR(TEXT(INDEX(TravelExp[Date],IF((ROW()-ROW(rStart))&gt;sEmpCount,-1,(sEmpPos+ROW()-ROW(rStart)-1))),"dd-mmm-yyyy"),"-")</f>
        <v>11-Oct-2022</v>
      </c>
      <c r="B8" s="56"/>
      <c r="C8" s="56"/>
      <c r="D8" s="56"/>
      <c r="E8" s="57"/>
      <c r="F8" s="71" t="str" cm="1">
        <f t="array" ref="F8">IFERROR(INDEX(TravelExp[Start Place],IF((ROW()-ROW(rStart))&gt;sEmpCount,-1,(sEmpPos+ROW()-ROW(rStart)-1))),"-")</f>
        <v>Khanapur Road, Kismat Complex, Advi Peth, Vita, Maharashtra 415311, India</v>
      </c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3"/>
      <c r="S8" s="108" cm="1">
        <f t="array" ref="S8">IFERROR(INDEX(TravelExp[Start Time],IF((ROW()-ROW(rStart))&gt;sEmpCount,-1,(sEmpPos+ROW()-ROW(rStart)-1))),"-")</f>
        <v>0.37847222222222221</v>
      </c>
      <c r="T8" s="109"/>
      <c r="U8" s="113" t="str" cm="1">
        <f t="array" ref="U8">IFERROR(INDEX(TravelExp[End Place],IF((ROW()-ROW(rStart))&gt;sEmpCount,-1,(sEmpPos+ROW()-ROW(rStart)-1))),"-")</f>
        <v>7GCQ+XRF, Advi Peth, Vita, Maharashtra 415311, India</v>
      </c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5"/>
      <c r="AH8" s="118" cm="1">
        <f t="array" ref="AH8">IFERROR(INDEX(TravelExp[End Time],IF((ROW()-ROW(rStart))&gt;sEmpCount,-1,(sEmpPos+ROW()-ROW(rStart)-1))),"-")</f>
        <v>0.82986111111111116</v>
      </c>
      <c r="AI8" s="119"/>
      <c r="AJ8" s="80" cm="1">
        <f t="array" ref="AJ8">IFERROR(INDEX(TravelExp[Mode &amp; Class of Fare],IF((ROW()-ROW(rStart))&gt;sEmpCount,-1,(sEmpPos+ROW()-ROW(rStart)-1))),"-")</f>
        <v>150</v>
      </c>
      <c r="AK8" s="80"/>
      <c r="AL8" s="80"/>
      <c r="AM8" s="80" cm="1">
        <f t="array" ref="AM8">IFERROR(INDEX(TravelExp[SysGenDA],IF((ROW()-ROW(rStart))&gt;sEmpCount,-1,(sEmpPos+ROW()-ROW(rStart)-1))),"-")</f>
        <v>200</v>
      </c>
      <c r="AN8" s="80"/>
      <c r="AO8" s="80"/>
      <c r="AP8" s="80" cm="1">
        <f t="array" ref="AP8">IFERROR(INDEX(TravelExp[Lodge Expenses],IF((ROW()-ROW(rStart))&gt;sEmpCount,-1,(sEmpPos+ROW()-ROW(rStart)-1))),"-")</f>
        <v>0</v>
      </c>
      <c r="AQ8" s="80"/>
      <c r="AR8" s="80"/>
      <c r="AS8" s="80" cm="1">
        <f t="array" ref="AS8">IFERROR(INDEX(TravelExp[Local Conveyance],IF((ROW()-ROW(rStart))&gt;sEmpCount,-1,(sEmpPos+ROW()-ROW(rStart)-1))),"-")</f>
        <v>0</v>
      </c>
      <c r="AT8" s="80"/>
      <c r="AU8" s="80"/>
      <c r="AV8" s="80" cm="1">
        <f t="array" ref="AV8">IFERROR(INDEX(TravelExp[Incdl Charges],IF((ROW()-ROW(rStart))&gt;sEmpCount,-1,(sEmpPos+ROW()-ROW(rStart)-1))),"-")</f>
        <v>0</v>
      </c>
      <c r="AW8" s="80"/>
      <c r="AX8" s="80"/>
      <c r="AY8" s="80" cm="1">
        <f t="array" ref="AY8">IFERROR(INDEX(TravelExp[Communication Expenses],IF((ROW()-ROW(rStart))&gt;sEmpCount,-1,(sEmpPos+ROW()-ROW(rStart)-1))),"-")</f>
        <v>0</v>
      </c>
      <c r="AZ8" s="80"/>
      <c r="BA8" s="80"/>
      <c r="BB8" s="92" cm="1">
        <f t="array" ref="BB8">IFERROR(INDEX(TravelExp[Grand Total],IF((ROW()-ROW(rStart))&gt;sEmpCount,-1,(sEmpPos+ROW()-ROW(rStart)-1))),"-")</f>
        <v>350</v>
      </c>
      <c r="BC8" s="93"/>
      <c r="BD8" s="93"/>
      <c r="BE8" s="94"/>
      <c r="BF8" s="69" cm="1">
        <f t="array" ref="BF8">IFERROR(INDEX(TravelExp[Dur],IF((ROW()-ROW(rStart))&gt;sEmpCount,-1,(sEmpPos+ROW()-ROW(rStart)-1))),"-")</f>
        <v>10.833333333333332</v>
      </c>
      <c r="BG8" s="69"/>
      <c r="BH8" s="69"/>
    </row>
    <row r="9" spans="1:60" ht="26.4" customHeight="1">
      <c r="A9" s="58" t="str" cm="1">
        <f t="array" ref="A9">IFERROR(TEXT(INDEX(TravelExp[Date],IF((ROW()-ROW(rStart))&gt;sEmpCount,-1,(sEmpPos+ROW()-ROW(rStart)-1))),"dd-mmm-yyyy"),"-")</f>
        <v>12-Oct-2022</v>
      </c>
      <c r="B9" s="59"/>
      <c r="C9" s="59"/>
      <c r="D9" s="59"/>
      <c r="E9" s="60"/>
      <c r="F9" s="74" t="str" cm="1">
        <f t="array" ref="F9">IFERROR(INDEX(TravelExp[Start Place],IF((ROW()-ROW(rStart))&gt;sEmpCount,-1,(sEmpPos+ROW()-ROW(rStart)-1))),"-")</f>
        <v>Khanapur-Vita Road, Opp. to S.T.Bus Stand, Basement of Siddhi Hotel, Advi Peth, Vita, Maharashtra 415311, India</v>
      </c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6"/>
      <c r="S9" s="61" cm="1">
        <f t="array" ref="S9">IFERROR(INDEX(TravelExp[Start Time],IF((ROW()-ROW(rStart))&gt;sEmpCount,-1,(sEmpPos+ROW()-ROW(rStart)-1))),"-")</f>
        <v>0.33680555555555558</v>
      </c>
      <c r="T9" s="62"/>
      <c r="U9" s="63" t="str" cm="1">
        <f t="array" ref="U9">IFERROR(INDEX(TravelExp[End Place],IF((ROW()-ROW(rStart))&gt;sEmpCount,-1,(sEmpPos+ROW()-ROW(rStart)-1))),"-")</f>
        <v>7GFQ+7WQ, Sawarkar Nagar, Vita, Maharashtra 415311, India</v>
      </c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5"/>
      <c r="AH9" s="50" cm="1">
        <f t="array" ref="AH9">IFERROR(INDEX(TravelExp[End Time],IF((ROW()-ROW(rStart))&gt;sEmpCount,-1,(sEmpPos+ROW()-ROW(rStart)-1))),"-")</f>
        <v>0.85833333333333328</v>
      </c>
      <c r="AI9" s="51"/>
      <c r="AJ9" s="42" cm="1">
        <f t="array" ref="AJ9">IFERROR(INDEX(TravelExp[Mode &amp; Class of Fare],IF((ROW()-ROW(rStart))&gt;sEmpCount,-1,(sEmpPos+ROW()-ROW(rStart)-1))),"-")</f>
        <v>160</v>
      </c>
      <c r="AK9" s="42"/>
      <c r="AL9" s="42"/>
      <c r="AM9" s="42" cm="1">
        <f t="array" ref="AM9">IFERROR(INDEX(TravelExp[SysGenDA],IF((ROW()-ROW(rStart))&gt;sEmpCount,-1,(sEmpPos+ROW()-ROW(rStart)-1))),"-")</f>
        <v>200</v>
      </c>
      <c r="AN9" s="42"/>
      <c r="AO9" s="42"/>
      <c r="AP9" s="42" cm="1">
        <f t="array" ref="AP9">IFERROR(INDEX(TravelExp[Lodge Expenses],IF((ROW()-ROW(rStart))&gt;sEmpCount,-1,(sEmpPos+ROW()-ROW(rStart)-1))),"-")</f>
        <v>0</v>
      </c>
      <c r="AQ9" s="42"/>
      <c r="AR9" s="42"/>
      <c r="AS9" s="42" cm="1">
        <f t="array" ref="AS9">IFERROR(INDEX(TravelExp[Local Conveyance],IF((ROW()-ROW(rStart))&gt;sEmpCount,-1,(sEmpPos+ROW()-ROW(rStart)-1))),"-")</f>
        <v>0</v>
      </c>
      <c r="AT9" s="42"/>
      <c r="AU9" s="42"/>
      <c r="AV9" s="42" cm="1">
        <f t="array" ref="AV9">IFERROR(INDEX(TravelExp[Incdl Charges],IF((ROW()-ROW(rStart))&gt;sEmpCount,-1,(sEmpPos+ROW()-ROW(rStart)-1))),"-")</f>
        <v>0</v>
      </c>
      <c r="AW9" s="42"/>
      <c r="AX9" s="42"/>
      <c r="AY9" s="42" cm="1">
        <f t="array" ref="AY9">IFERROR(INDEX(TravelExp[Communication Expenses],IF((ROW()-ROW(rStart))&gt;sEmpCount,-1,(sEmpPos+ROW()-ROW(rStart)-1))),"-")</f>
        <v>0</v>
      </c>
      <c r="AZ9" s="42"/>
      <c r="BA9" s="42"/>
      <c r="BB9" s="95" cm="1">
        <f t="array" ref="BB9">IFERROR(INDEX(TravelExp[Grand Total],IF((ROW()-ROW(rStart))&gt;sEmpCount,-1,(sEmpPos+ROW()-ROW(rStart)-1))),"-")</f>
        <v>360</v>
      </c>
      <c r="BC9" s="96"/>
      <c r="BD9" s="96"/>
      <c r="BE9" s="97"/>
      <c r="BF9" s="44" cm="1">
        <f t="array" ref="BF9">IFERROR(INDEX(TravelExp[Dur],IF((ROW()-ROW(rStart))&gt;sEmpCount,-1,(sEmpPos+ROW()-ROW(rStart)-1))),"-")</f>
        <v>12.516666666666667</v>
      </c>
      <c r="BG9" s="44"/>
      <c r="BH9" s="44"/>
    </row>
    <row r="10" spans="1:60" ht="26.4" customHeight="1">
      <c r="A10" s="58" t="str" cm="1">
        <f t="array" ref="A10">IFERROR(TEXT(INDEX(TravelExp[Date],IF((ROW()-ROW(rStart))&gt;sEmpCount,-1,(sEmpPos+ROW()-ROW(rStart)-1))),"dd-mmm-yyyy"),"-")</f>
        <v>13-Oct-2022</v>
      </c>
      <c r="B10" s="59"/>
      <c r="C10" s="59"/>
      <c r="D10" s="59"/>
      <c r="E10" s="60"/>
      <c r="F10" s="74" t="str" cm="1">
        <f t="array" ref="F10">IFERROR(INDEX(TravelExp[Start Place],IF((ROW()-ROW(rStart))&gt;sEmpCount,-1,(sEmpPos+ROW()-ROW(rStart)-1))),"-")</f>
        <v>Shop No 1 Karad Road, near Anand Dresse, opp. Rajalaxmi Medical, Advi Peth, Vita, Maharashtra 415311, India</v>
      </c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6"/>
      <c r="S10" s="61" cm="1">
        <f t="array" ref="S10">IFERROR(INDEX(TravelExp[Start Time],IF((ROW()-ROW(rStart))&gt;sEmpCount,-1,(sEmpPos+ROW()-ROW(rStart)-1))),"-")</f>
        <v>0.34791666666666665</v>
      </c>
      <c r="T10" s="62"/>
      <c r="U10" s="63" t="str" cm="1">
        <f t="array" ref="U10">IFERROR(INDEX(TravelExp[End Place],IF((ROW()-ROW(rStart))&gt;sEmpCount,-1,(sEmpPos+ROW()-ROW(rStart)-1))),"-")</f>
        <v>7GFQ+7WQ, Sawarkar Nagar, Vita, Maharashtra 415311, India</v>
      </c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5"/>
      <c r="AH10" s="50" cm="1">
        <f t="array" ref="AH10">IFERROR(INDEX(TravelExp[End Time],IF((ROW()-ROW(rStart))&gt;sEmpCount,-1,(sEmpPos+ROW()-ROW(rStart)-1))),"-")</f>
        <v>0.83194444444444449</v>
      </c>
      <c r="AI10" s="51"/>
      <c r="AJ10" s="42" cm="1">
        <f t="array" ref="AJ10">IFERROR(INDEX(TravelExp[Mode &amp; Class of Fare],IF((ROW()-ROW(rStart))&gt;sEmpCount,-1,(sEmpPos+ROW()-ROW(rStart)-1))),"-")</f>
        <v>160</v>
      </c>
      <c r="AK10" s="42"/>
      <c r="AL10" s="42"/>
      <c r="AM10" s="42" cm="1">
        <f t="array" ref="AM10">IFERROR(INDEX(TravelExp[SysGenDA],IF((ROW()-ROW(rStart))&gt;sEmpCount,-1,(sEmpPos+ROW()-ROW(rStart)-1))),"-")</f>
        <v>200</v>
      </c>
      <c r="AN10" s="42"/>
      <c r="AO10" s="42"/>
      <c r="AP10" s="42" cm="1">
        <f t="array" ref="AP10">IFERROR(INDEX(TravelExp[Lodge Expenses],IF((ROW()-ROW(rStart))&gt;sEmpCount,-1,(sEmpPos+ROW()-ROW(rStart)-1))),"-")</f>
        <v>0</v>
      </c>
      <c r="AQ10" s="42"/>
      <c r="AR10" s="42"/>
      <c r="AS10" s="42" cm="1">
        <f t="array" ref="AS10">IFERROR(INDEX(TravelExp[Local Conveyance],IF((ROW()-ROW(rStart))&gt;sEmpCount,-1,(sEmpPos+ROW()-ROW(rStart)-1))),"-")</f>
        <v>200</v>
      </c>
      <c r="AT10" s="42"/>
      <c r="AU10" s="42"/>
      <c r="AV10" s="42" cm="1">
        <f t="array" ref="AV10">IFERROR(INDEX(TravelExp[Incdl Charges],IF((ROW()-ROW(rStart))&gt;sEmpCount,-1,(sEmpPos+ROW()-ROW(rStart)-1))),"-")</f>
        <v>0</v>
      </c>
      <c r="AW10" s="42"/>
      <c r="AX10" s="42"/>
      <c r="AY10" s="42" cm="1">
        <f t="array" ref="AY10">IFERROR(INDEX(TravelExp[Communication Expenses],IF((ROW()-ROW(rStart))&gt;sEmpCount,-1,(sEmpPos+ROW()-ROW(rStart)-1))),"-")</f>
        <v>0</v>
      </c>
      <c r="AZ10" s="42"/>
      <c r="BA10" s="42"/>
      <c r="BB10" s="95" cm="1">
        <f t="array" ref="BB10">IFERROR(INDEX(TravelExp[Grand Total],IF((ROW()-ROW(rStart))&gt;sEmpCount,-1,(sEmpPos+ROW()-ROW(rStart)-1))),"-")</f>
        <v>560</v>
      </c>
      <c r="BC10" s="96"/>
      <c r="BD10" s="96"/>
      <c r="BE10" s="97"/>
      <c r="BF10" s="44" cm="1">
        <f t="array" ref="BF10">IFERROR(INDEX(TravelExp[Dur],IF((ROW()-ROW(rStart))&gt;sEmpCount,-1,(sEmpPos+ROW()-ROW(rStart)-1))),"-")</f>
        <v>11.616666666666665</v>
      </c>
      <c r="BG10" s="44"/>
      <c r="BH10" s="44"/>
    </row>
    <row r="11" spans="1:60" ht="26.4" customHeight="1">
      <c r="A11" s="58" t="str" cm="1">
        <f t="array" ref="A11">IFERROR(TEXT(INDEX(TravelExp[Date],IF((ROW()-ROW(rStart))&gt;sEmpCount,-1,(sEmpPos+ROW()-ROW(rStart)-1))),"dd-mmm-yyyy"),"-")</f>
        <v>14-Oct-2022</v>
      </c>
      <c r="B11" s="59"/>
      <c r="C11" s="59"/>
      <c r="D11" s="59"/>
      <c r="E11" s="60"/>
      <c r="F11" s="74" t="str" cm="1">
        <f t="array" ref="F11">IFERROR(INDEX(TravelExp[Start Place],IF((ROW()-ROW(rStart))&gt;sEmpCount,-1,(sEmpPos+ROW()-ROW(rStart)-1))),"-")</f>
        <v>Plot 3697 khanapur road, SH78, opp. bus stand, Advi Peth, Vita, Maharashtra 415311, India</v>
      </c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6"/>
      <c r="S11" s="61" cm="1">
        <f t="array" ref="S11">IFERROR(INDEX(TravelExp[Start Time],IF((ROW()-ROW(rStart))&gt;sEmpCount,-1,(sEmpPos+ROW()-ROW(rStart)-1))),"-")</f>
        <v>0.3576388888888889</v>
      </c>
      <c r="T11" s="62"/>
      <c r="U11" s="63" t="str" cm="1">
        <f t="array" ref="U11">IFERROR(INDEX(TravelExp[End Place],IF((ROW()-ROW(rStart))&gt;sEmpCount,-1,(sEmpPos+ROW()-ROW(rStart)-1))),"-")</f>
        <v>Radhakrishna Complex, Khanapur Rd, near S.T. Stand, Advi Peth, Vita, Maharashtra 415311, India</v>
      </c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5"/>
      <c r="AH11" s="50" cm="1">
        <f t="array" ref="AH11">IFERROR(INDEX(TravelExp[End Time],IF((ROW()-ROW(rStart))&gt;sEmpCount,-1,(sEmpPos+ROW()-ROW(rStart)-1))),"-")</f>
        <v>0.8208333333333333</v>
      </c>
      <c r="AI11" s="51"/>
      <c r="AJ11" s="42" cm="1">
        <f t="array" ref="AJ11">IFERROR(INDEX(TravelExp[Mode &amp; Class of Fare],IF((ROW()-ROW(rStart))&gt;sEmpCount,-1,(sEmpPos+ROW()-ROW(rStart)-1))),"-")</f>
        <v>0</v>
      </c>
      <c r="AK11" s="42"/>
      <c r="AL11" s="42"/>
      <c r="AM11" s="42" cm="1">
        <f t="array" ref="AM11">IFERROR(INDEX(TravelExp[SysGenDA],IF((ROW()-ROW(rStart))&gt;sEmpCount,-1,(sEmpPos+ROW()-ROW(rStart)-1))),"-")</f>
        <v>200</v>
      </c>
      <c r="AN11" s="42"/>
      <c r="AO11" s="42"/>
      <c r="AP11" s="42" cm="1">
        <f t="array" ref="AP11">IFERROR(INDEX(TravelExp[Lodge Expenses],IF((ROW()-ROW(rStart))&gt;sEmpCount,-1,(sEmpPos+ROW()-ROW(rStart)-1))),"-")</f>
        <v>0</v>
      </c>
      <c r="AQ11" s="42"/>
      <c r="AR11" s="42"/>
      <c r="AS11" s="42" cm="1">
        <f t="array" ref="AS11">IFERROR(INDEX(TravelExp[Local Conveyance],IF((ROW()-ROW(rStart))&gt;sEmpCount,-1,(sEmpPos+ROW()-ROW(rStart)-1))),"-")</f>
        <v>200</v>
      </c>
      <c r="AT11" s="42"/>
      <c r="AU11" s="42"/>
      <c r="AV11" s="42" cm="1">
        <f t="array" ref="AV11">IFERROR(INDEX(TravelExp[Incdl Charges],IF((ROW()-ROW(rStart))&gt;sEmpCount,-1,(sEmpPos+ROW()-ROW(rStart)-1))),"-")</f>
        <v>0</v>
      </c>
      <c r="AW11" s="42"/>
      <c r="AX11" s="42"/>
      <c r="AY11" s="42" cm="1">
        <f t="array" ref="AY11">IFERROR(INDEX(TravelExp[Communication Expenses],IF((ROW()-ROW(rStart))&gt;sEmpCount,-1,(sEmpPos+ROW()-ROW(rStart)-1))),"-")</f>
        <v>0</v>
      </c>
      <c r="AZ11" s="42"/>
      <c r="BA11" s="42"/>
      <c r="BB11" s="95" cm="1">
        <f t="array" ref="BB11">IFERROR(INDEX(TravelExp[Grand Total],IF((ROW()-ROW(rStart))&gt;sEmpCount,-1,(sEmpPos+ROW()-ROW(rStart)-1))),"-")</f>
        <v>400</v>
      </c>
      <c r="BC11" s="96"/>
      <c r="BD11" s="96"/>
      <c r="BE11" s="97"/>
      <c r="BF11" s="44" cm="1">
        <f t="array" ref="BF11">IFERROR(INDEX(TravelExp[Dur],IF((ROW()-ROW(rStart))&gt;sEmpCount,-1,(sEmpPos+ROW()-ROW(rStart)-1))),"-")</f>
        <v>11.116666666666665</v>
      </c>
      <c r="BG11" s="44"/>
      <c r="BH11" s="44"/>
    </row>
    <row r="12" spans="1:60" ht="26.4" customHeight="1">
      <c r="A12" s="58" t="str" cm="1">
        <f t="array" ref="A12">IFERROR(TEXT(INDEX(TravelExp[Date],IF((ROW()-ROW(rStart))&gt;sEmpCount,-1,(sEmpPos+ROW()-ROW(rStart)-1))),"dd-mmm-yyyy"),"-")</f>
        <v>15-Oct-2022</v>
      </c>
      <c r="B12" s="59"/>
      <c r="C12" s="59"/>
      <c r="D12" s="59"/>
      <c r="E12" s="60"/>
      <c r="F12" s="74" t="str" cm="1">
        <f t="array" ref="F12">IFERROR(INDEX(TravelExp[Start Place],IF((ROW()-ROW(rStart))&gt;sEmpCount,-1,(sEmpPos+ROW()-ROW(rStart)-1))),"-")</f>
        <v>Plot 3697 khanapur road, SH78, opp. bus stand, Advi Peth, Vita, Maharashtra 415311, India</v>
      </c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6"/>
      <c r="S12" s="61" cm="1">
        <f t="array" ref="S12">IFERROR(INDEX(TravelExp[Start Time],IF((ROW()-ROW(rStart))&gt;sEmpCount,-1,(sEmpPos+ROW()-ROW(rStart)-1))),"-")</f>
        <v>0.33333333333333331</v>
      </c>
      <c r="T12" s="62"/>
      <c r="U12" s="63" t="str" cm="1">
        <f t="array" ref="U12">IFERROR(INDEX(TravelExp[End Place],IF((ROW()-ROW(rStart))&gt;sEmpCount,-1,(sEmpPos+ROW()-ROW(rStart)-1))),"-")</f>
        <v>PC5R+3Q2, Kolewadi Rd, Dahiwadi, Maharashtra 415023, India</v>
      </c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5"/>
      <c r="AH12" s="50" cm="1">
        <f t="array" ref="AH12">IFERROR(INDEX(TravelExp[End Time],IF((ROW()-ROW(rStart))&gt;sEmpCount,-1,(sEmpPos+ROW()-ROW(rStart)-1))),"-")</f>
        <v>0.90069444444444446</v>
      </c>
      <c r="AI12" s="51"/>
      <c r="AJ12" s="42" cm="1">
        <f t="array" ref="AJ12">IFERROR(INDEX(TravelExp[Mode &amp; Class of Fare],IF((ROW()-ROW(rStart))&gt;sEmpCount,-1,(sEmpPos+ROW()-ROW(rStart)-1))),"-")</f>
        <v>106</v>
      </c>
      <c r="AK12" s="42"/>
      <c r="AL12" s="42"/>
      <c r="AM12" s="42" cm="1">
        <f t="array" ref="AM12">IFERROR(INDEX(TravelExp[SysGenDA],IF((ROW()-ROW(rStart))&gt;sEmpCount,-1,(sEmpPos+ROW()-ROW(rStart)-1))),"-")</f>
        <v>200</v>
      </c>
      <c r="AN12" s="42"/>
      <c r="AO12" s="42"/>
      <c r="AP12" s="42" cm="1">
        <f t="array" ref="AP12">IFERROR(INDEX(TravelExp[Lodge Expenses],IF((ROW()-ROW(rStart))&gt;sEmpCount,-1,(sEmpPos+ROW()-ROW(rStart)-1))),"-")</f>
        <v>0</v>
      </c>
      <c r="AQ12" s="42"/>
      <c r="AR12" s="42"/>
      <c r="AS12" s="42" cm="1">
        <f t="array" ref="AS12">IFERROR(INDEX(TravelExp[Local Conveyance],IF((ROW()-ROW(rStart))&gt;sEmpCount,-1,(sEmpPos+ROW()-ROW(rStart)-1))),"-")</f>
        <v>0</v>
      </c>
      <c r="AT12" s="42"/>
      <c r="AU12" s="42"/>
      <c r="AV12" s="42" cm="1">
        <f t="array" ref="AV12">IFERROR(INDEX(TravelExp[Incdl Charges],IF((ROW()-ROW(rStart))&gt;sEmpCount,-1,(sEmpPos+ROW()-ROW(rStart)-1))),"-")</f>
        <v>0</v>
      </c>
      <c r="AW12" s="42"/>
      <c r="AX12" s="42"/>
      <c r="AY12" s="42" cm="1">
        <f t="array" ref="AY12">IFERROR(INDEX(TravelExp[Communication Expenses],IF((ROW()-ROW(rStart))&gt;sEmpCount,-1,(sEmpPos+ROW()-ROW(rStart)-1))),"-")</f>
        <v>0</v>
      </c>
      <c r="AZ12" s="42"/>
      <c r="BA12" s="42"/>
      <c r="BB12" s="95" cm="1">
        <f t="array" ref="BB12">IFERROR(INDEX(TravelExp[Grand Total],IF((ROW()-ROW(rStart))&gt;sEmpCount,-1,(sEmpPos+ROW()-ROW(rStart)-1))),"-")</f>
        <v>306</v>
      </c>
      <c r="BC12" s="96"/>
      <c r="BD12" s="96"/>
      <c r="BE12" s="97"/>
      <c r="BF12" s="44" cm="1">
        <f t="array" ref="BF12">IFERROR(INDEX(TravelExp[Dur],IF((ROW()-ROW(rStart))&gt;sEmpCount,-1,(sEmpPos+ROW()-ROW(rStart)-1))),"-")</f>
        <v>13.616666666666664</v>
      </c>
      <c r="BG12" s="44"/>
      <c r="BH12" s="44"/>
    </row>
    <row r="13" spans="1:60" ht="26.4" customHeight="1">
      <c r="A13" s="58" t="str" cm="1">
        <f t="array" ref="A13">IFERROR(TEXT(INDEX(TravelExp[Date],IF((ROW()-ROW(rStart))&gt;sEmpCount,-1,(sEmpPos+ROW()-ROW(rStart)-1))),"dd-mmm-yyyy"),"-")</f>
        <v>-</v>
      </c>
      <c r="B13" s="59"/>
      <c r="C13" s="59"/>
      <c r="D13" s="59"/>
      <c r="E13" s="60"/>
      <c r="F13" s="74" t="str" cm="1">
        <f t="array" ref="F13">IFERROR(INDEX(TravelExp[Start Place],IF((ROW()-ROW(rStart))&gt;sEmpCount,-1,(sEmpPos+ROW()-ROW(rStart)-1))),"-")</f>
        <v>-</v>
      </c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6"/>
      <c r="S13" s="61" t="str" cm="1">
        <f t="array" ref="S13">IFERROR(INDEX(TravelExp[Start Time],IF((ROW()-ROW(rStart))&gt;sEmpCount,-1,(sEmpPos+ROW()-ROW(rStart)-1))),"-")</f>
        <v>-</v>
      </c>
      <c r="T13" s="62"/>
      <c r="U13" s="63" t="str" cm="1">
        <f t="array" ref="U13">IFERROR(INDEX(TravelExp[End Place],IF((ROW()-ROW(rStart))&gt;sEmpCount,-1,(sEmpPos+ROW()-ROW(rStart)-1))),"-")</f>
        <v>-</v>
      </c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5"/>
      <c r="AH13" s="50" t="str" cm="1">
        <f t="array" ref="AH13">IFERROR(INDEX(TravelExp[End Time],IF((ROW()-ROW(rStart))&gt;sEmpCount,-1,(sEmpPos+ROW()-ROW(rStart)-1))),"-")</f>
        <v>-</v>
      </c>
      <c r="AI13" s="51"/>
      <c r="AJ13" s="42" t="str" cm="1">
        <f t="array" ref="AJ13">IFERROR(INDEX(TravelExp[Mode &amp; Class of Fare],IF((ROW()-ROW(rStart))&gt;sEmpCount,-1,(sEmpPos+ROW()-ROW(rStart)-1))),"-")</f>
        <v>-</v>
      </c>
      <c r="AK13" s="42"/>
      <c r="AL13" s="42"/>
      <c r="AM13" s="42" t="str" cm="1">
        <f t="array" ref="AM13">IFERROR(INDEX(TravelExp[SysGenDA],IF((ROW()-ROW(rStart))&gt;sEmpCount,-1,(sEmpPos+ROW()-ROW(rStart)-1))),"-")</f>
        <v>-</v>
      </c>
      <c r="AN13" s="42"/>
      <c r="AO13" s="42"/>
      <c r="AP13" s="42" t="str" cm="1">
        <f t="array" ref="AP13">IFERROR(INDEX(TravelExp[Lodge Expenses],IF((ROW()-ROW(rStart))&gt;sEmpCount,-1,(sEmpPos+ROW()-ROW(rStart)-1))),"-")</f>
        <v>-</v>
      </c>
      <c r="AQ13" s="42"/>
      <c r="AR13" s="42"/>
      <c r="AS13" s="42" t="str" cm="1">
        <f t="array" ref="AS13">IFERROR(INDEX(TravelExp[Local Conveyance],IF((ROW()-ROW(rStart))&gt;sEmpCount,-1,(sEmpPos+ROW()-ROW(rStart)-1))),"-")</f>
        <v>-</v>
      </c>
      <c r="AT13" s="42"/>
      <c r="AU13" s="42"/>
      <c r="AV13" s="42" t="str" cm="1">
        <f t="array" ref="AV13">IFERROR(INDEX(TravelExp[Incdl Charges],IF((ROW()-ROW(rStart))&gt;sEmpCount,-1,(sEmpPos+ROW()-ROW(rStart)-1))),"-")</f>
        <v>-</v>
      </c>
      <c r="AW13" s="42"/>
      <c r="AX13" s="42"/>
      <c r="AY13" s="42" t="str" cm="1">
        <f t="array" ref="AY13">IFERROR(INDEX(TravelExp[Communication Expenses],IF((ROW()-ROW(rStart))&gt;sEmpCount,-1,(sEmpPos+ROW()-ROW(rStart)-1))),"-")</f>
        <v>-</v>
      </c>
      <c r="AZ13" s="42"/>
      <c r="BA13" s="42"/>
      <c r="BB13" s="95" t="str" cm="1">
        <f t="array" ref="BB13">IFERROR(INDEX(TravelExp[Grand Total],IF((ROW()-ROW(rStart))&gt;sEmpCount,-1,(sEmpPos+ROW()-ROW(rStart)-1))),"-")</f>
        <v>-</v>
      </c>
      <c r="BC13" s="96"/>
      <c r="BD13" s="96"/>
      <c r="BE13" s="97"/>
      <c r="BF13" s="44" t="str" cm="1">
        <f t="array" ref="BF13">IFERROR(INDEX(TravelExp[Dur],IF((ROW()-ROW(rStart))&gt;sEmpCount,-1,(sEmpPos+ROW()-ROW(rStart)-1))),"-")</f>
        <v>-</v>
      </c>
      <c r="BG13" s="44"/>
      <c r="BH13" s="44"/>
    </row>
    <row r="14" spans="1:60" ht="26.4" customHeight="1">
      <c r="A14" s="58" t="str" cm="1">
        <f t="array" ref="A14">IFERROR(TEXT(INDEX(TravelExp[Date],IF((ROW()-ROW(rStart))&gt;sEmpCount,-1,(sEmpPos+ROW()-ROW(rStart)-1))),"dd-mmm-yyyy"),"-")</f>
        <v>-</v>
      </c>
      <c r="B14" s="59"/>
      <c r="C14" s="59"/>
      <c r="D14" s="59"/>
      <c r="E14" s="60"/>
      <c r="F14" s="74" t="str" cm="1">
        <f t="array" ref="F14">IFERROR(INDEX(TravelExp[Start Place],IF((ROW()-ROW(rStart))&gt;sEmpCount,-1,(sEmpPos+ROW()-ROW(rStart)-1))),"-")</f>
        <v>-</v>
      </c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6"/>
      <c r="S14" s="61" t="str" cm="1">
        <f t="array" ref="S14">IFERROR(INDEX(TravelExp[Start Time],IF((ROW()-ROW(rStart))&gt;sEmpCount,-1,(sEmpPos+ROW()-ROW(rStart)-1))),"-")</f>
        <v>-</v>
      </c>
      <c r="T14" s="62"/>
      <c r="U14" s="63" t="str" cm="1">
        <f t="array" ref="U14">IFERROR(INDEX(TravelExp[End Place],IF((ROW()-ROW(rStart))&gt;sEmpCount,-1,(sEmpPos+ROW()-ROW(rStart)-1))),"-")</f>
        <v>-</v>
      </c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5"/>
      <c r="AH14" s="50" t="str" cm="1">
        <f t="array" ref="AH14">IFERROR(INDEX(TravelExp[End Time],IF((ROW()-ROW(rStart))&gt;sEmpCount,-1,(sEmpPos+ROW()-ROW(rStart)-1))),"-")</f>
        <v>-</v>
      </c>
      <c r="AI14" s="51"/>
      <c r="AJ14" s="42" t="str" cm="1">
        <f t="array" ref="AJ14">IFERROR(INDEX(TravelExp[Mode &amp; Class of Fare],IF((ROW()-ROW(rStart))&gt;sEmpCount,-1,(sEmpPos+ROW()-ROW(rStart)-1))),"-")</f>
        <v>-</v>
      </c>
      <c r="AK14" s="42"/>
      <c r="AL14" s="42"/>
      <c r="AM14" s="42" t="str" cm="1">
        <f t="array" ref="AM14">IFERROR(INDEX(TravelExp[SysGenDA],IF((ROW()-ROW(rStart))&gt;sEmpCount,-1,(sEmpPos+ROW()-ROW(rStart)-1))),"-")</f>
        <v>-</v>
      </c>
      <c r="AN14" s="42"/>
      <c r="AO14" s="42"/>
      <c r="AP14" s="42" t="str" cm="1">
        <f t="array" ref="AP14">IFERROR(INDEX(TravelExp[Lodge Expenses],IF((ROW()-ROW(rStart))&gt;sEmpCount,-1,(sEmpPos+ROW()-ROW(rStart)-1))),"-")</f>
        <v>-</v>
      </c>
      <c r="AQ14" s="42"/>
      <c r="AR14" s="42"/>
      <c r="AS14" s="42" t="str" cm="1">
        <f t="array" ref="AS14">IFERROR(INDEX(TravelExp[Local Conveyance],IF((ROW()-ROW(rStart))&gt;sEmpCount,-1,(sEmpPos+ROW()-ROW(rStart)-1))),"-")</f>
        <v>-</v>
      </c>
      <c r="AT14" s="42"/>
      <c r="AU14" s="42"/>
      <c r="AV14" s="42" t="str" cm="1">
        <f t="array" ref="AV14">IFERROR(INDEX(TravelExp[Incdl Charges],IF((ROW()-ROW(rStart))&gt;sEmpCount,-1,(sEmpPos+ROW()-ROW(rStart)-1))),"-")</f>
        <v>-</v>
      </c>
      <c r="AW14" s="42"/>
      <c r="AX14" s="42"/>
      <c r="AY14" s="42" t="str" cm="1">
        <f t="array" ref="AY14">IFERROR(INDEX(TravelExp[Communication Expenses],IF((ROW()-ROW(rStart))&gt;sEmpCount,-1,(sEmpPos+ROW()-ROW(rStart)-1))),"-")</f>
        <v>-</v>
      </c>
      <c r="AZ14" s="42"/>
      <c r="BA14" s="42"/>
      <c r="BB14" s="95" t="str" cm="1">
        <f t="array" ref="BB14">IFERROR(INDEX(TravelExp[Grand Total],IF((ROW()-ROW(rStart))&gt;sEmpCount,-1,(sEmpPos+ROW()-ROW(rStart)-1))),"-")</f>
        <v>-</v>
      </c>
      <c r="BC14" s="96"/>
      <c r="BD14" s="96"/>
      <c r="BE14" s="97"/>
      <c r="BF14" s="44" t="str" cm="1">
        <f t="array" ref="BF14">IFERROR(INDEX(TravelExp[Dur],IF((ROW()-ROW(rStart))&gt;sEmpCount,-1,(sEmpPos+ROW()-ROW(rStart)-1))),"-")</f>
        <v>-</v>
      </c>
      <c r="BG14" s="44"/>
      <c r="BH14" s="44"/>
    </row>
    <row r="15" spans="1:60" ht="26.4" customHeight="1">
      <c r="A15" s="58" t="str" cm="1">
        <f t="array" ref="A15">IFERROR(TEXT(INDEX(TravelExp[Date],IF((ROW()-ROW(rStart))&gt;sEmpCount,-1,(sEmpPos+ROW()-ROW(rStart)-1))),"dd-mmm-yyyy"),"-")</f>
        <v>-</v>
      </c>
      <c r="B15" s="59"/>
      <c r="C15" s="59"/>
      <c r="D15" s="59"/>
      <c r="E15" s="60"/>
      <c r="F15" s="74" t="str" cm="1">
        <f t="array" ref="F15">IFERROR(INDEX(TravelExp[Start Place],IF((ROW()-ROW(rStart))&gt;sEmpCount,-1,(sEmpPos+ROW()-ROW(rStart)-1))),"-")</f>
        <v>-</v>
      </c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6"/>
      <c r="S15" s="61" t="str" cm="1">
        <f t="array" ref="S15">IFERROR(INDEX(TravelExp[Start Time],IF((ROW()-ROW(rStart))&gt;sEmpCount,-1,(sEmpPos+ROW()-ROW(rStart)-1))),"-")</f>
        <v>-</v>
      </c>
      <c r="T15" s="62"/>
      <c r="U15" s="63" t="str" cm="1">
        <f t="array" ref="U15">IFERROR(INDEX(TravelExp[End Place],IF((ROW()-ROW(rStart))&gt;sEmpCount,-1,(sEmpPos+ROW()-ROW(rStart)-1))),"-")</f>
        <v>-</v>
      </c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5"/>
      <c r="AH15" s="50" t="str" cm="1">
        <f t="array" ref="AH15">IFERROR(INDEX(TravelExp[End Time],IF((ROW()-ROW(rStart))&gt;sEmpCount,-1,(sEmpPos+ROW()-ROW(rStart)-1))),"-")</f>
        <v>-</v>
      </c>
      <c r="AI15" s="51"/>
      <c r="AJ15" s="42" t="str" cm="1">
        <f t="array" ref="AJ15">IFERROR(INDEX(TravelExp[Mode &amp; Class of Fare],IF((ROW()-ROW(rStart))&gt;sEmpCount,-1,(sEmpPos+ROW()-ROW(rStart)-1))),"-")</f>
        <v>-</v>
      </c>
      <c r="AK15" s="42"/>
      <c r="AL15" s="42"/>
      <c r="AM15" s="42" t="str" cm="1">
        <f t="array" ref="AM15">IFERROR(INDEX(TravelExp[SysGenDA],IF((ROW()-ROW(rStart))&gt;sEmpCount,-1,(sEmpPos+ROW()-ROW(rStart)-1))),"-")</f>
        <v>-</v>
      </c>
      <c r="AN15" s="42"/>
      <c r="AO15" s="42"/>
      <c r="AP15" s="42" t="str" cm="1">
        <f t="array" ref="AP15">IFERROR(INDEX(TravelExp[Lodge Expenses],IF((ROW()-ROW(rStart))&gt;sEmpCount,-1,(sEmpPos+ROW()-ROW(rStart)-1))),"-")</f>
        <v>-</v>
      </c>
      <c r="AQ15" s="42"/>
      <c r="AR15" s="42"/>
      <c r="AS15" s="42" t="str" cm="1">
        <f t="array" ref="AS15">IFERROR(INDEX(TravelExp[Local Conveyance],IF((ROW()-ROW(rStart))&gt;sEmpCount,-1,(sEmpPos+ROW()-ROW(rStart)-1))),"-")</f>
        <v>-</v>
      </c>
      <c r="AT15" s="42"/>
      <c r="AU15" s="42"/>
      <c r="AV15" s="42" t="str" cm="1">
        <f t="array" ref="AV15">IFERROR(INDEX(TravelExp[Incdl Charges],IF((ROW()-ROW(rStart))&gt;sEmpCount,-1,(sEmpPos+ROW()-ROW(rStart)-1))),"-")</f>
        <v>-</v>
      </c>
      <c r="AW15" s="42"/>
      <c r="AX15" s="42"/>
      <c r="AY15" s="42" t="str" cm="1">
        <f t="array" ref="AY15">IFERROR(INDEX(TravelExp[Communication Expenses],IF((ROW()-ROW(rStart))&gt;sEmpCount,-1,(sEmpPos+ROW()-ROW(rStart)-1))),"-")</f>
        <v>-</v>
      </c>
      <c r="AZ15" s="42"/>
      <c r="BA15" s="42"/>
      <c r="BB15" s="95" t="str" cm="1">
        <f t="array" ref="BB15">IFERROR(INDEX(TravelExp[Grand Total],IF((ROW()-ROW(rStart))&gt;sEmpCount,-1,(sEmpPos+ROW()-ROW(rStart)-1))),"-")</f>
        <v>-</v>
      </c>
      <c r="BC15" s="96"/>
      <c r="BD15" s="96"/>
      <c r="BE15" s="97"/>
      <c r="BF15" s="44" t="str" cm="1">
        <f t="array" ref="BF15">IFERROR(INDEX(TravelExp[Dur],IF((ROW()-ROW(rStart))&gt;sEmpCount,-1,(sEmpPos+ROW()-ROW(rStart)-1))),"-")</f>
        <v>-</v>
      </c>
      <c r="BG15" s="44"/>
      <c r="BH15" s="44"/>
    </row>
    <row r="16" spans="1:60" ht="26.4" customHeight="1">
      <c r="A16" s="58" t="str" cm="1">
        <f t="array" ref="A16">IFERROR(TEXT(INDEX(TravelExp[Date],IF((ROW()-ROW(rStart))&gt;sEmpCount,-1,(sEmpPos+ROW()-ROW(rStart)-1))),"dd-mmm-yyyy"),"-")</f>
        <v>-</v>
      </c>
      <c r="B16" s="59"/>
      <c r="C16" s="59"/>
      <c r="D16" s="59"/>
      <c r="E16" s="60"/>
      <c r="F16" s="74" t="str" cm="1">
        <f t="array" ref="F16">IFERROR(INDEX(TravelExp[Start Place],IF((ROW()-ROW(rStart))&gt;sEmpCount,-1,(sEmpPos+ROW()-ROW(rStart)-1))),"-")</f>
        <v>-</v>
      </c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6"/>
      <c r="S16" s="61" t="str" cm="1">
        <f t="array" ref="S16">IFERROR(INDEX(TravelExp[Start Time],IF((ROW()-ROW(rStart))&gt;sEmpCount,-1,(sEmpPos+ROW()-ROW(rStart)-1))),"-")</f>
        <v>-</v>
      </c>
      <c r="T16" s="62"/>
      <c r="U16" s="63" t="str" cm="1">
        <f t="array" ref="U16">IFERROR(INDEX(TravelExp[End Place],IF((ROW()-ROW(rStart))&gt;sEmpCount,-1,(sEmpPos+ROW()-ROW(rStart)-1))),"-")</f>
        <v>-</v>
      </c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5"/>
      <c r="AH16" s="50" t="str" cm="1">
        <f t="array" ref="AH16">IFERROR(INDEX(TravelExp[End Time],IF((ROW()-ROW(rStart))&gt;sEmpCount,-1,(sEmpPos+ROW()-ROW(rStart)-1))),"-")</f>
        <v>-</v>
      </c>
      <c r="AI16" s="51"/>
      <c r="AJ16" s="42" t="str" cm="1">
        <f t="array" ref="AJ16">IFERROR(INDEX(TravelExp[Mode &amp; Class of Fare],IF((ROW()-ROW(rStart))&gt;sEmpCount,-1,(sEmpPos+ROW()-ROW(rStart)-1))),"-")</f>
        <v>-</v>
      </c>
      <c r="AK16" s="42"/>
      <c r="AL16" s="42"/>
      <c r="AM16" s="42" t="str" cm="1">
        <f t="array" ref="AM16">IFERROR(INDEX(TravelExp[SysGenDA],IF((ROW()-ROW(rStart))&gt;sEmpCount,-1,(sEmpPos+ROW()-ROW(rStart)-1))),"-")</f>
        <v>-</v>
      </c>
      <c r="AN16" s="42"/>
      <c r="AO16" s="42"/>
      <c r="AP16" s="42" t="str" cm="1">
        <f t="array" ref="AP16">IFERROR(INDEX(TravelExp[Lodge Expenses],IF((ROW()-ROW(rStart))&gt;sEmpCount,-1,(sEmpPos+ROW()-ROW(rStart)-1))),"-")</f>
        <v>-</v>
      </c>
      <c r="AQ16" s="42"/>
      <c r="AR16" s="42"/>
      <c r="AS16" s="42" t="str" cm="1">
        <f t="array" ref="AS16">IFERROR(INDEX(TravelExp[Local Conveyance],IF((ROW()-ROW(rStart))&gt;sEmpCount,-1,(sEmpPos+ROW()-ROW(rStart)-1))),"-")</f>
        <v>-</v>
      </c>
      <c r="AT16" s="42"/>
      <c r="AU16" s="42"/>
      <c r="AV16" s="42" t="str" cm="1">
        <f t="array" ref="AV16">IFERROR(INDEX(TravelExp[Incdl Charges],IF((ROW()-ROW(rStart))&gt;sEmpCount,-1,(sEmpPos+ROW()-ROW(rStart)-1))),"-")</f>
        <v>-</v>
      </c>
      <c r="AW16" s="42"/>
      <c r="AX16" s="42"/>
      <c r="AY16" s="42" t="str" cm="1">
        <f t="array" ref="AY16">IFERROR(INDEX(TravelExp[Communication Expenses],IF((ROW()-ROW(rStart))&gt;sEmpCount,-1,(sEmpPos+ROW()-ROW(rStart)-1))),"-")</f>
        <v>-</v>
      </c>
      <c r="AZ16" s="42"/>
      <c r="BA16" s="42"/>
      <c r="BB16" s="95" t="str" cm="1">
        <f t="array" ref="BB16">IFERROR(INDEX(TravelExp[Grand Total],IF((ROW()-ROW(rStart))&gt;sEmpCount,-1,(sEmpPos+ROW()-ROW(rStart)-1))),"-")</f>
        <v>-</v>
      </c>
      <c r="BC16" s="96"/>
      <c r="BD16" s="96"/>
      <c r="BE16" s="97"/>
      <c r="BF16" s="44" t="str" cm="1">
        <f t="array" ref="BF16">IFERROR(INDEX(TravelExp[Dur],IF((ROW()-ROW(rStart))&gt;sEmpCount,-1,(sEmpPos+ROW()-ROW(rStart)-1))),"-")</f>
        <v>-</v>
      </c>
      <c r="BG16" s="44"/>
      <c r="BH16" s="44"/>
    </row>
    <row r="17" spans="1:60" ht="39.6" customHeight="1">
      <c r="A17" s="58" t="str" cm="1">
        <f t="array" ref="A17">IFERROR(TEXT(INDEX(TravelExp[Date],IF((ROW()-ROW(rStart))&gt;sEmpCount,-1,(sEmpPos+ROW()-ROW(rStart)-1))),"dd-mmm-yyyy"),"-")</f>
        <v>-</v>
      </c>
      <c r="B17" s="59"/>
      <c r="C17" s="59"/>
      <c r="D17" s="59"/>
      <c r="E17" s="60"/>
      <c r="F17" s="74" t="str" cm="1">
        <f t="array" ref="F17">IFERROR(INDEX(TravelExp[Start Place],IF((ROW()-ROW(rStart))&gt;sEmpCount,-1,(sEmpPos+ROW()-ROW(rStart)-1))),"-")</f>
        <v>-</v>
      </c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6"/>
      <c r="S17" s="61" t="str" cm="1">
        <f t="array" ref="S17">IFERROR(INDEX(TravelExp[Start Time],IF((ROW()-ROW(rStart))&gt;sEmpCount,-1,(sEmpPos+ROW()-ROW(rStart)-1))),"-")</f>
        <v>-</v>
      </c>
      <c r="T17" s="62"/>
      <c r="U17" s="63" t="str" cm="1">
        <f t="array" ref="U17">IFERROR(INDEX(TravelExp[End Place],IF((ROW()-ROW(rStart))&gt;sEmpCount,-1,(sEmpPos+ROW()-ROW(rStart)-1))),"-")</f>
        <v>-</v>
      </c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5"/>
      <c r="AH17" s="50" t="str" cm="1">
        <f t="array" ref="AH17">IFERROR(INDEX(TravelExp[End Time],IF((ROW()-ROW(rStart))&gt;sEmpCount,-1,(sEmpPos+ROW()-ROW(rStart)-1))),"-")</f>
        <v>-</v>
      </c>
      <c r="AI17" s="51"/>
      <c r="AJ17" s="42" t="str" cm="1">
        <f t="array" ref="AJ17">IFERROR(INDEX(TravelExp[Mode &amp; Class of Fare],IF((ROW()-ROW(rStart))&gt;sEmpCount,-1,(sEmpPos+ROW()-ROW(rStart)-1))),"-")</f>
        <v>-</v>
      </c>
      <c r="AK17" s="42"/>
      <c r="AL17" s="42"/>
      <c r="AM17" s="42" t="str" cm="1">
        <f t="array" ref="AM17">IFERROR(INDEX(TravelExp[SysGenDA],IF((ROW()-ROW(rStart))&gt;sEmpCount,-1,(sEmpPos+ROW()-ROW(rStart)-1))),"-")</f>
        <v>-</v>
      </c>
      <c r="AN17" s="42"/>
      <c r="AO17" s="42"/>
      <c r="AP17" s="42" t="str" cm="1">
        <f t="array" ref="AP17">IFERROR(INDEX(TravelExp[Lodge Expenses],IF((ROW()-ROW(rStart))&gt;sEmpCount,-1,(sEmpPos+ROW()-ROW(rStart)-1))),"-")</f>
        <v>-</v>
      </c>
      <c r="AQ17" s="42"/>
      <c r="AR17" s="42"/>
      <c r="AS17" s="42" t="str" cm="1">
        <f t="array" ref="AS17">IFERROR(INDEX(TravelExp[Local Conveyance],IF((ROW()-ROW(rStart))&gt;sEmpCount,-1,(sEmpPos+ROW()-ROW(rStart)-1))),"-")</f>
        <v>-</v>
      </c>
      <c r="AT17" s="42"/>
      <c r="AU17" s="42"/>
      <c r="AV17" s="42" t="str" cm="1">
        <f t="array" ref="AV17">IFERROR(INDEX(TravelExp[Incdl Charges],IF((ROW()-ROW(rStart))&gt;sEmpCount,-1,(sEmpPos+ROW()-ROW(rStart)-1))),"-")</f>
        <v>-</v>
      </c>
      <c r="AW17" s="42"/>
      <c r="AX17" s="42"/>
      <c r="AY17" s="42" t="str" cm="1">
        <f t="array" ref="AY17">IFERROR(INDEX(TravelExp[Communication Expenses],IF((ROW()-ROW(rStart))&gt;sEmpCount,-1,(sEmpPos+ROW()-ROW(rStart)-1))),"-")</f>
        <v>-</v>
      </c>
      <c r="AZ17" s="42"/>
      <c r="BA17" s="42"/>
      <c r="BB17" s="95" t="str" cm="1">
        <f t="array" ref="BB17">IFERROR(INDEX(TravelExp[Grand Total],IF((ROW()-ROW(rStart))&gt;sEmpCount,-1,(sEmpPos+ROW()-ROW(rStart)-1))),"-")</f>
        <v>-</v>
      </c>
      <c r="BC17" s="96"/>
      <c r="BD17" s="96"/>
      <c r="BE17" s="97"/>
      <c r="BF17" s="44" t="str" cm="1">
        <f t="array" ref="BF17">IFERROR(INDEX(TravelExp[Dur],IF((ROW()-ROW(rStart))&gt;sEmpCount,-1,(sEmpPos+ROW()-ROW(rStart)-1))),"-")</f>
        <v>-</v>
      </c>
      <c r="BG17" s="44"/>
      <c r="BH17" s="44"/>
    </row>
    <row r="18" spans="1:60" ht="26.4" customHeight="1">
      <c r="A18" s="58" t="str" cm="1">
        <f t="array" ref="A18">IFERROR(TEXT(INDEX(TravelExp[Date],IF((ROW()-ROW(rStart))&gt;sEmpCount,-1,(sEmpPos+ROW()-ROW(rStart)-1))),"dd-mmm-yyyy"),"-")</f>
        <v>-</v>
      </c>
      <c r="B18" s="59"/>
      <c r="C18" s="59"/>
      <c r="D18" s="59"/>
      <c r="E18" s="60"/>
      <c r="F18" s="74" t="str" cm="1">
        <f t="array" ref="F18">IFERROR(INDEX(TravelExp[Start Place],IF((ROW()-ROW(rStart))&gt;sEmpCount,-1,(sEmpPos+ROW()-ROW(rStart)-1))),"-")</f>
        <v>-</v>
      </c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6"/>
      <c r="S18" s="61" t="str" cm="1">
        <f t="array" ref="S18">IFERROR(INDEX(TravelExp[Start Time],IF((ROW()-ROW(rStart))&gt;sEmpCount,-1,(sEmpPos+ROW()-ROW(rStart)-1))),"-")</f>
        <v>-</v>
      </c>
      <c r="T18" s="62"/>
      <c r="U18" s="63" t="str" cm="1">
        <f t="array" ref="U18">IFERROR(INDEX(TravelExp[End Place],IF((ROW()-ROW(rStart))&gt;sEmpCount,-1,(sEmpPos+ROW()-ROW(rStart)-1))),"-")</f>
        <v>-</v>
      </c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5"/>
      <c r="AH18" s="50" t="str" cm="1">
        <f t="array" ref="AH18">IFERROR(INDEX(TravelExp[End Time],IF((ROW()-ROW(rStart))&gt;sEmpCount,-1,(sEmpPos+ROW()-ROW(rStart)-1))),"-")</f>
        <v>-</v>
      </c>
      <c r="AI18" s="51"/>
      <c r="AJ18" s="42" t="str" cm="1">
        <f t="array" ref="AJ18">IFERROR(INDEX(TravelExp[Mode &amp; Class of Fare],IF((ROW()-ROW(rStart))&gt;sEmpCount,-1,(sEmpPos+ROW()-ROW(rStart)-1))),"-")</f>
        <v>-</v>
      </c>
      <c r="AK18" s="42"/>
      <c r="AL18" s="42"/>
      <c r="AM18" s="42" t="str" cm="1">
        <f t="array" ref="AM18">IFERROR(INDEX(TravelExp[SysGenDA],IF((ROW()-ROW(rStart))&gt;sEmpCount,-1,(sEmpPos+ROW()-ROW(rStart)-1))),"-")</f>
        <v>-</v>
      </c>
      <c r="AN18" s="42"/>
      <c r="AO18" s="42"/>
      <c r="AP18" s="42" t="str" cm="1">
        <f t="array" ref="AP18">IFERROR(INDEX(TravelExp[Lodge Expenses],IF((ROW()-ROW(rStart))&gt;sEmpCount,-1,(sEmpPos+ROW()-ROW(rStart)-1))),"-")</f>
        <v>-</v>
      </c>
      <c r="AQ18" s="42"/>
      <c r="AR18" s="42"/>
      <c r="AS18" s="42" t="str" cm="1">
        <f t="array" ref="AS18">IFERROR(INDEX(TravelExp[Local Conveyance],IF((ROW()-ROW(rStart))&gt;sEmpCount,-1,(sEmpPos+ROW()-ROW(rStart)-1))),"-")</f>
        <v>-</v>
      </c>
      <c r="AT18" s="42"/>
      <c r="AU18" s="42"/>
      <c r="AV18" s="42" t="str" cm="1">
        <f t="array" ref="AV18">IFERROR(INDEX(TravelExp[Incdl Charges],IF((ROW()-ROW(rStart))&gt;sEmpCount,-1,(sEmpPos+ROW()-ROW(rStart)-1))),"-")</f>
        <v>-</v>
      </c>
      <c r="AW18" s="42"/>
      <c r="AX18" s="42"/>
      <c r="AY18" s="42" t="str" cm="1">
        <f t="array" ref="AY18">IFERROR(INDEX(TravelExp[Communication Expenses],IF((ROW()-ROW(rStart))&gt;sEmpCount,-1,(sEmpPos+ROW()-ROW(rStart)-1))),"-")</f>
        <v>-</v>
      </c>
      <c r="AZ18" s="42"/>
      <c r="BA18" s="42"/>
      <c r="BB18" s="95" t="str" cm="1">
        <f t="array" ref="BB18">IFERROR(INDEX(TravelExp[Grand Total],IF((ROW()-ROW(rStart))&gt;sEmpCount,-1,(sEmpPos+ROW()-ROW(rStart)-1))),"-")</f>
        <v>-</v>
      </c>
      <c r="BC18" s="96"/>
      <c r="BD18" s="96"/>
      <c r="BE18" s="97"/>
      <c r="BF18" s="44" t="str" cm="1">
        <f t="array" ref="BF18">IFERROR(INDEX(TravelExp[Dur],IF((ROW()-ROW(rStart))&gt;sEmpCount,-1,(sEmpPos+ROW()-ROW(rStart)-1))),"-")</f>
        <v>-</v>
      </c>
      <c r="BG18" s="44"/>
      <c r="BH18" s="44"/>
    </row>
    <row r="19" spans="1:60" ht="26.4" customHeight="1">
      <c r="A19" s="58" t="str" cm="1">
        <f t="array" ref="A19">IFERROR(TEXT(INDEX(TravelExp[Date],IF((ROW()-ROW(rStart))&gt;sEmpCount,-1,(sEmpPos+ROW()-ROW(rStart)-1))),"dd-mmm-yyyy"),"-")</f>
        <v>-</v>
      </c>
      <c r="B19" s="59"/>
      <c r="C19" s="59"/>
      <c r="D19" s="59"/>
      <c r="E19" s="60"/>
      <c r="F19" s="74" t="str" cm="1">
        <f t="array" ref="F19">IFERROR(INDEX(TravelExp[Start Place],IF((ROW()-ROW(rStart))&gt;sEmpCount,-1,(sEmpPos+ROW()-ROW(rStart)-1))),"-")</f>
        <v>-</v>
      </c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6"/>
      <c r="S19" s="61" t="str" cm="1">
        <f t="array" ref="S19">IFERROR(INDEX(TravelExp[Start Time],IF((ROW()-ROW(rStart))&gt;sEmpCount,-1,(sEmpPos+ROW()-ROW(rStart)-1))),"-")</f>
        <v>-</v>
      </c>
      <c r="T19" s="62"/>
      <c r="U19" s="63" t="str" cm="1">
        <f t="array" ref="U19">IFERROR(INDEX(TravelExp[End Place],IF((ROW()-ROW(rStart))&gt;sEmpCount,-1,(sEmpPos+ROW()-ROW(rStart)-1))),"-")</f>
        <v>-</v>
      </c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5"/>
      <c r="AH19" s="50" t="str" cm="1">
        <f t="array" ref="AH19">IFERROR(INDEX(TravelExp[End Time],IF((ROW()-ROW(rStart))&gt;sEmpCount,-1,(sEmpPos+ROW()-ROW(rStart)-1))),"-")</f>
        <v>-</v>
      </c>
      <c r="AI19" s="51"/>
      <c r="AJ19" s="42" t="str" cm="1">
        <f t="array" ref="AJ19">IFERROR(INDEX(TravelExp[Mode &amp; Class of Fare],IF((ROW()-ROW(rStart))&gt;sEmpCount,-1,(sEmpPos+ROW()-ROW(rStart)-1))),"-")</f>
        <v>-</v>
      </c>
      <c r="AK19" s="42"/>
      <c r="AL19" s="42"/>
      <c r="AM19" s="42" t="str" cm="1">
        <f t="array" ref="AM19">IFERROR(INDEX(TravelExp[SysGenDA],IF((ROW()-ROW(rStart))&gt;sEmpCount,-1,(sEmpPos+ROW()-ROW(rStart)-1))),"-")</f>
        <v>-</v>
      </c>
      <c r="AN19" s="42"/>
      <c r="AO19" s="42"/>
      <c r="AP19" s="42" t="str" cm="1">
        <f t="array" ref="AP19">IFERROR(INDEX(TravelExp[Lodge Expenses],IF((ROW()-ROW(rStart))&gt;sEmpCount,-1,(sEmpPos+ROW()-ROW(rStart)-1))),"-")</f>
        <v>-</v>
      </c>
      <c r="AQ19" s="42"/>
      <c r="AR19" s="42"/>
      <c r="AS19" s="42" t="str" cm="1">
        <f t="array" ref="AS19">IFERROR(INDEX(TravelExp[Local Conveyance],IF((ROW()-ROW(rStart))&gt;sEmpCount,-1,(sEmpPos+ROW()-ROW(rStart)-1))),"-")</f>
        <v>-</v>
      </c>
      <c r="AT19" s="42"/>
      <c r="AU19" s="42"/>
      <c r="AV19" s="42" t="str" cm="1">
        <f t="array" ref="AV19">IFERROR(INDEX(TravelExp[Incdl Charges],IF((ROW()-ROW(rStart))&gt;sEmpCount,-1,(sEmpPos+ROW()-ROW(rStart)-1))),"-")</f>
        <v>-</v>
      </c>
      <c r="AW19" s="42"/>
      <c r="AX19" s="42"/>
      <c r="AY19" s="42" t="str" cm="1">
        <f t="array" ref="AY19">IFERROR(INDEX(TravelExp[Communication Expenses],IF((ROW()-ROW(rStart))&gt;sEmpCount,-1,(sEmpPos+ROW()-ROW(rStart)-1))),"-")</f>
        <v>-</v>
      </c>
      <c r="AZ19" s="42"/>
      <c r="BA19" s="42"/>
      <c r="BB19" s="95" t="str" cm="1">
        <f t="array" ref="BB19">IFERROR(INDEX(TravelExp[Grand Total],IF((ROW()-ROW(rStart))&gt;sEmpCount,-1,(sEmpPos+ROW()-ROW(rStart)-1))),"-")</f>
        <v>-</v>
      </c>
      <c r="BC19" s="96"/>
      <c r="BD19" s="96"/>
      <c r="BE19" s="97"/>
      <c r="BF19" s="44" t="str" cm="1">
        <f t="array" ref="BF19">IFERROR(INDEX(TravelExp[Dur],IF((ROW()-ROW(rStart))&gt;sEmpCount,-1,(sEmpPos+ROW()-ROW(rStart)-1))),"-")</f>
        <v>-</v>
      </c>
      <c r="BG19" s="44"/>
      <c r="BH19" s="44"/>
    </row>
    <row r="20" spans="1:60" ht="26.4" customHeight="1">
      <c r="A20" s="58" t="str" cm="1">
        <f t="array" ref="A20">IFERROR(TEXT(INDEX(TravelExp[Date],IF((ROW()-ROW(rStart))&gt;sEmpCount,-1,(sEmpPos+ROW()-ROW(rStart)-1))),"dd-mmm-yyyy"),"-")</f>
        <v>-</v>
      </c>
      <c r="B20" s="59"/>
      <c r="C20" s="59"/>
      <c r="D20" s="59"/>
      <c r="E20" s="60"/>
      <c r="F20" s="74" t="str" cm="1">
        <f t="array" ref="F20">IFERROR(INDEX(TravelExp[Start Place],IF((ROW()-ROW(rStart))&gt;sEmpCount,-1,(sEmpPos+ROW()-ROW(rStart)-1))),"-")</f>
        <v>-</v>
      </c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6"/>
      <c r="S20" s="61" t="str" cm="1">
        <f t="array" ref="S20">IFERROR(INDEX(TravelExp[Start Time],IF((ROW()-ROW(rStart))&gt;sEmpCount,-1,(sEmpPos+ROW()-ROW(rStart)-1))),"-")</f>
        <v>-</v>
      </c>
      <c r="T20" s="62"/>
      <c r="U20" s="63" t="str" cm="1">
        <f t="array" ref="U20">IFERROR(INDEX(TravelExp[End Place],IF((ROW()-ROW(rStart))&gt;sEmpCount,-1,(sEmpPos+ROW()-ROW(rStart)-1))),"-")</f>
        <v>-</v>
      </c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5"/>
      <c r="AH20" s="50" t="str" cm="1">
        <f t="array" ref="AH20">IFERROR(INDEX(TravelExp[End Time],IF((ROW()-ROW(rStart))&gt;sEmpCount,-1,(sEmpPos+ROW()-ROW(rStart)-1))),"-")</f>
        <v>-</v>
      </c>
      <c r="AI20" s="51"/>
      <c r="AJ20" s="42" t="str" cm="1">
        <f t="array" ref="AJ20">IFERROR(INDEX(TravelExp[Mode &amp; Class of Fare],IF((ROW()-ROW(rStart))&gt;sEmpCount,-1,(sEmpPos+ROW()-ROW(rStart)-1))),"-")</f>
        <v>-</v>
      </c>
      <c r="AK20" s="42"/>
      <c r="AL20" s="42"/>
      <c r="AM20" s="42" t="str" cm="1">
        <f t="array" ref="AM20">IFERROR(INDEX(TravelExp[SysGenDA],IF((ROW()-ROW(rStart))&gt;sEmpCount,-1,(sEmpPos+ROW()-ROW(rStart)-1))),"-")</f>
        <v>-</v>
      </c>
      <c r="AN20" s="42"/>
      <c r="AO20" s="42"/>
      <c r="AP20" s="42" t="str" cm="1">
        <f t="array" ref="AP20">IFERROR(INDEX(TravelExp[Lodge Expenses],IF((ROW()-ROW(rStart))&gt;sEmpCount,-1,(sEmpPos+ROW()-ROW(rStart)-1))),"-")</f>
        <v>-</v>
      </c>
      <c r="AQ20" s="42"/>
      <c r="AR20" s="42"/>
      <c r="AS20" s="42" t="str" cm="1">
        <f t="array" ref="AS20">IFERROR(INDEX(TravelExp[Local Conveyance],IF((ROW()-ROW(rStart))&gt;sEmpCount,-1,(sEmpPos+ROW()-ROW(rStart)-1))),"-")</f>
        <v>-</v>
      </c>
      <c r="AT20" s="42"/>
      <c r="AU20" s="42"/>
      <c r="AV20" s="42" t="str" cm="1">
        <f t="array" ref="AV20">IFERROR(INDEX(TravelExp[Incdl Charges],IF((ROW()-ROW(rStart))&gt;sEmpCount,-1,(sEmpPos+ROW()-ROW(rStart)-1))),"-")</f>
        <v>-</v>
      </c>
      <c r="AW20" s="42"/>
      <c r="AX20" s="42"/>
      <c r="AY20" s="42" t="str" cm="1">
        <f t="array" ref="AY20">IFERROR(INDEX(TravelExp[Communication Expenses],IF((ROW()-ROW(rStart))&gt;sEmpCount,-1,(sEmpPos+ROW()-ROW(rStart)-1))),"-")</f>
        <v>-</v>
      </c>
      <c r="AZ20" s="42"/>
      <c r="BA20" s="42"/>
      <c r="BB20" s="95" t="str" cm="1">
        <f t="array" ref="BB20">IFERROR(INDEX(TravelExp[Grand Total],IF((ROW()-ROW(rStart))&gt;sEmpCount,-1,(sEmpPos+ROW()-ROW(rStart)-1))),"-")</f>
        <v>-</v>
      </c>
      <c r="BC20" s="96"/>
      <c r="BD20" s="96"/>
      <c r="BE20" s="97"/>
      <c r="BF20" s="44" t="str" cm="1">
        <f t="array" ref="BF20">IFERROR(INDEX(TravelExp[Dur],IF((ROW()-ROW(rStart))&gt;sEmpCount,-1,(sEmpPos+ROW()-ROW(rStart)-1))),"-")</f>
        <v>-</v>
      </c>
      <c r="BG20" s="44"/>
      <c r="BH20" s="44"/>
    </row>
    <row r="21" spans="1:60" ht="26.4" customHeight="1">
      <c r="A21" s="58" t="str" cm="1">
        <f t="array" ref="A21">IFERROR(TEXT(INDEX(TravelExp[Date],IF((ROW()-ROW(rStart))&gt;sEmpCount,-1,(sEmpPos+ROW()-ROW(rStart)-1))),"dd-mmm-yyyy"),"-")</f>
        <v>-</v>
      </c>
      <c r="B21" s="59"/>
      <c r="C21" s="59"/>
      <c r="D21" s="59"/>
      <c r="E21" s="60"/>
      <c r="F21" s="74" t="str" cm="1">
        <f t="array" ref="F21">IFERROR(INDEX(TravelExp[Start Place],IF((ROW()-ROW(rStart))&gt;sEmpCount,-1,(sEmpPos+ROW()-ROW(rStart)-1))),"-")</f>
        <v>-</v>
      </c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6"/>
      <c r="S21" s="61" t="str" cm="1">
        <f t="array" ref="S21">IFERROR(INDEX(TravelExp[Start Time],IF((ROW()-ROW(rStart))&gt;sEmpCount,-1,(sEmpPos+ROW()-ROW(rStart)-1))),"-")</f>
        <v>-</v>
      </c>
      <c r="T21" s="62"/>
      <c r="U21" s="63" t="str" cm="1">
        <f t="array" ref="U21">IFERROR(INDEX(TravelExp[End Place],IF((ROW()-ROW(rStart))&gt;sEmpCount,-1,(sEmpPos+ROW()-ROW(rStart)-1))),"-")</f>
        <v>-</v>
      </c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5"/>
      <c r="AH21" s="50" t="str" cm="1">
        <f t="array" ref="AH21">IFERROR(INDEX(TravelExp[End Time],IF((ROW()-ROW(rStart))&gt;sEmpCount,-1,(sEmpPos+ROW()-ROW(rStart)-1))),"-")</f>
        <v>-</v>
      </c>
      <c r="AI21" s="51"/>
      <c r="AJ21" s="42" t="str" cm="1">
        <f t="array" ref="AJ21">IFERROR(INDEX(TravelExp[Mode &amp; Class of Fare],IF((ROW()-ROW(rStart))&gt;sEmpCount,-1,(sEmpPos+ROW()-ROW(rStart)-1))),"-")</f>
        <v>-</v>
      </c>
      <c r="AK21" s="42"/>
      <c r="AL21" s="42"/>
      <c r="AM21" s="42" t="str" cm="1">
        <f t="array" ref="AM21">IFERROR(INDEX(TravelExp[SysGenDA],IF((ROW()-ROW(rStart))&gt;sEmpCount,-1,(sEmpPos+ROW()-ROW(rStart)-1))),"-")</f>
        <v>-</v>
      </c>
      <c r="AN21" s="42"/>
      <c r="AO21" s="42"/>
      <c r="AP21" s="42" t="str" cm="1">
        <f t="array" ref="AP21">IFERROR(INDEX(TravelExp[Lodge Expenses],IF((ROW()-ROW(rStart))&gt;sEmpCount,-1,(sEmpPos+ROW()-ROW(rStart)-1))),"-")</f>
        <v>-</v>
      </c>
      <c r="AQ21" s="42"/>
      <c r="AR21" s="42"/>
      <c r="AS21" s="42" t="str" cm="1">
        <f t="array" ref="AS21">IFERROR(INDEX(TravelExp[Local Conveyance],IF((ROW()-ROW(rStart))&gt;sEmpCount,-1,(sEmpPos+ROW()-ROW(rStart)-1))),"-")</f>
        <v>-</v>
      </c>
      <c r="AT21" s="42"/>
      <c r="AU21" s="42"/>
      <c r="AV21" s="42" t="str" cm="1">
        <f t="array" ref="AV21">IFERROR(INDEX(TravelExp[Incdl Charges],IF((ROW()-ROW(rStart))&gt;sEmpCount,-1,(sEmpPos+ROW()-ROW(rStart)-1))),"-")</f>
        <v>-</v>
      </c>
      <c r="AW21" s="42"/>
      <c r="AX21" s="42"/>
      <c r="AY21" s="42" t="str" cm="1">
        <f t="array" ref="AY21">IFERROR(INDEX(TravelExp[Communication Expenses],IF((ROW()-ROW(rStart))&gt;sEmpCount,-1,(sEmpPos+ROW()-ROW(rStart)-1))),"-")</f>
        <v>-</v>
      </c>
      <c r="AZ21" s="42"/>
      <c r="BA21" s="42"/>
      <c r="BB21" s="95" t="str" cm="1">
        <f t="array" ref="BB21">IFERROR(INDEX(TravelExp[Grand Total],IF((ROW()-ROW(rStart))&gt;sEmpCount,-1,(sEmpPos+ROW()-ROW(rStart)-1))),"-")</f>
        <v>-</v>
      </c>
      <c r="BC21" s="96"/>
      <c r="BD21" s="96"/>
      <c r="BE21" s="97"/>
      <c r="BF21" s="44" t="str" cm="1">
        <f t="array" ref="BF21">IFERROR(INDEX(TravelExp[Dur],IF((ROW()-ROW(rStart))&gt;sEmpCount,-1,(sEmpPos+ROW()-ROW(rStart)-1))),"-")</f>
        <v>-</v>
      </c>
      <c r="BG21" s="44"/>
      <c r="BH21" s="44"/>
    </row>
    <row r="22" spans="1:60" ht="13.2">
      <c r="A22" s="58" t="str" cm="1">
        <f t="array" ref="A22">IFERROR(TEXT(INDEX(TravelExp[Date],IF((ROW()-ROW(rStart))&gt;sEmpCount,-1,(sEmpPos+ROW()-ROW(rStart)-1))),"dd-mmm-yyyy"),"-")</f>
        <v>-</v>
      </c>
      <c r="B22" s="59"/>
      <c r="C22" s="59"/>
      <c r="D22" s="59"/>
      <c r="E22" s="60"/>
      <c r="F22" s="99" t="str" cm="1">
        <f t="array" ref="F22">IFERROR(INDEX(TravelExp[Start Place],IF((ROW()-ROW(rStart))&gt;sEmpCount,-1,(sEmpPos+ROW()-ROW(rStart)-1))),"-")</f>
        <v>-</v>
      </c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1"/>
      <c r="S22" s="61" t="str" cm="1">
        <f t="array" ref="S22">IFERROR(INDEX(TravelExp[Start Time],IF((ROW()-ROW(rStart))&gt;sEmpCount,-1,(sEmpPos+ROW()-ROW(rStart)-1))),"-")</f>
        <v>-</v>
      </c>
      <c r="T22" s="62"/>
      <c r="U22" s="63" t="str" cm="1">
        <f t="array" ref="U22">IFERROR(INDEX(TravelExp[End Place],IF((ROW()-ROW(rStart))&gt;sEmpCount,-1,(sEmpPos+ROW()-ROW(rStart)-1))),"-")</f>
        <v>-</v>
      </c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5"/>
      <c r="AH22" s="50" t="str" cm="1">
        <f t="array" ref="AH22">IFERROR(INDEX(TravelExp[End Time],IF((ROW()-ROW(rStart))&gt;sEmpCount,-1,(sEmpPos+ROW()-ROW(rStart)-1))),"-")</f>
        <v>-</v>
      </c>
      <c r="AI22" s="51"/>
      <c r="AJ22" s="42" t="str" cm="1">
        <f t="array" ref="AJ22">IFERROR(INDEX(TravelExp[Mode &amp; Class of Fare],IF((ROW()-ROW(rStart))&gt;sEmpCount,-1,(sEmpPos+ROW()-ROW(rStart)-1))),"-")</f>
        <v>-</v>
      </c>
      <c r="AK22" s="42"/>
      <c r="AL22" s="42"/>
      <c r="AM22" s="42" t="str" cm="1">
        <f t="array" ref="AM22">IFERROR(INDEX(TravelExp[SysGenDA],IF((ROW()-ROW(rStart))&gt;sEmpCount,-1,(sEmpPos+ROW()-ROW(rStart)-1))),"-")</f>
        <v>-</v>
      </c>
      <c r="AN22" s="42"/>
      <c r="AO22" s="42"/>
      <c r="AP22" s="42" t="str" cm="1">
        <f t="array" ref="AP22">IFERROR(INDEX(TravelExp[Lodge Expenses],IF((ROW()-ROW(rStart))&gt;sEmpCount,-1,(sEmpPos+ROW()-ROW(rStart)-1))),"-")</f>
        <v>-</v>
      </c>
      <c r="AQ22" s="42"/>
      <c r="AR22" s="42"/>
      <c r="AS22" s="42" t="str" cm="1">
        <f t="array" ref="AS22">IFERROR(INDEX(TravelExp[Local Conveyance],IF((ROW()-ROW(rStart))&gt;sEmpCount,-1,(sEmpPos+ROW()-ROW(rStart)-1))),"-")</f>
        <v>-</v>
      </c>
      <c r="AT22" s="42"/>
      <c r="AU22" s="42"/>
      <c r="AV22" s="42" t="str" cm="1">
        <f t="array" ref="AV22">IFERROR(INDEX(TravelExp[Incdl Charges],IF((ROW()-ROW(rStart))&gt;sEmpCount,-1,(sEmpPos+ROW()-ROW(rStart)-1))),"-")</f>
        <v>-</v>
      </c>
      <c r="AW22" s="42"/>
      <c r="AX22" s="42"/>
      <c r="AY22" s="42" t="str" cm="1">
        <f t="array" ref="AY22">IFERROR(INDEX(TravelExp[Communication Expenses],IF((ROW()-ROW(rStart))&gt;sEmpCount,-1,(sEmpPos+ROW()-ROW(rStart)-1))),"-")</f>
        <v>-</v>
      </c>
      <c r="AZ22" s="42"/>
      <c r="BA22" s="42"/>
      <c r="BB22" s="95" t="str" cm="1">
        <f t="array" ref="BB22">IFERROR(INDEX(TravelExp[Grand Total],IF((ROW()-ROW(rStart))&gt;sEmpCount,-1,(sEmpPos+ROW()-ROW(rStart)-1))),"-")</f>
        <v>-</v>
      </c>
      <c r="BC22" s="96"/>
      <c r="BD22" s="96"/>
      <c r="BE22" s="97"/>
      <c r="BF22" s="44" t="str" cm="1">
        <f t="array" ref="BF22">IFERROR(INDEX(TravelExp[Dur],IF((ROW()-ROW(rStart))&gt;sEmpCount,-1,(sEmpPos+ROW()-ROW(rStart)-1))),"-")</f>
        <v>-</v>
      </c>
      <c r="BG22" s="44"/>
      <c r="BH22" s="44"/>
    </row>
    <row r="23" spans="1:60" ht="13.2">
      <c r="A23" s="52" t="str" cm="1">
        <f t="array" ref="A23">IFERROR(TEXT(INDEX(TravelExp[Date],IF((ROW()-ROW(rStart))&gt;sEmpCount,-1,(sEmpPos+ROW()-ROW(rStart)-1))),"dd-mmm-yyyy"),"-")</f>
        <v>-</v>
      </c>
      <c r="B23" s="53"/>
      <c r="C23" s="53"/>
      <c r="D23" s="53"/>
      <c r="E23" s="54"/>
      <c r="F23" s="102" t="str" cm="1">
        <f t="array" ref="F23">IFERROR(INDEX(TravelExp[Start Place],IF((ROW()-ROW(rStart))&gt;sEmpCount,-1,(sEmpPos+ROW()-ROW(rStart)-1))),"-")</f>
        <v>-</v>
      </c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4"/>
      <c r="S23" s="116" t="str" cm="1">
        <f t="array" ref="S23">IFERROR(INDEX(TravelExp[Start Time],IF((ROW()-ROW(rStart))&gt;sEmpCount,-1,(sEmpPos+ROW()-ROW(rStart)-1))),"-")</f>
        <v>-</v>
      </c>
      <c r="T23" s="117"/>
      <c r="U23" s="105" t="str" cm="1">
        <f t="array" ref="U23">IFERROR(INDEX(TravelExp[End Place],IF((ROW()-ROW(rStart))&gt;sEmpCount,-1,(sEmpPos+ROW()-ROW(rStart)-1))),"-")</f>
        <v>-</v>
      </c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7"/>
      <c r="AH23" s="120" t="str" cm="1">
        <f t="array" ref="AH23">IFERROR(INDEX(TravelExp[End Time],IF((ROW()-ROW(rStart))&gt;sEmpCount,-1,(sEmpPos+ROW()-ROW(rStart)-1))),"-")</f>
        <v>-</v>
      </c>
      <c r="AI23" s="121"/>
      <c r="AJ23" s="43" t="str" cm="1">
        <f t="array" ref="AJ23">IFERROR(INDEX(TravelExp[Mode &amp; Class of Fare],IF((ROW()-ROW(rStart))&gt;sEmpCount,-1,(sEmpPos+ROW()-ROW(rStart)-1))),"-")</f>
        <v>-</v>
      </c>
      <c r="AK23" s="43"/>
      <c r="AL23" s="43"/>
      <c r="AM23" s="43" t="str" cm="1">
        <f t="array" ref="AM23">IFERROR(INDEX(TravelExp[SysGenDA],IF((ROW()-ROW(rStart))&gt;sEmpCount,-1,(sEmpPos+ROW()-ROW(rStart)-1))),"-")</f>
        <v>-</v>
      </c>
      <c r="AN23" s="43"/>
      <c r="AO23" s="43"/>
      <c r="AP23" s="43" t="str" cm="1">
        <f t="array" ref="AP23">IFERROR(INDEX(TravelExp[Lodge Expenses],IF((ROW()-ROW(rStart))&gt;sEmpCount,-1,(sEmpPos+ROW()-ROW(rStart)-1))),"-")</f>
        <v>-</v>
      </c>
      <c r="AQ23" s="43"/>
      <c r="AR23" s="43"/>
      <c r="AS23" s="43" t="str" cm="1">
        <f t="array" ref="AS23">IFERROR(INDEX(TravelExp[Local Conveyance],IF((ROW()-ROW(rStart))&gt;sEmpCount,-1,(sEmpPos+ROW()-ROW(rStart)-1))),"-")</f>
        <v>-</v>
      </c>
      <c r="AT23" s="43"/>
      <c r="AU23" s="43"/>
      <c r="AV23" s="43" t="str" cm="1">
        <f t="array" ref="AV23">IFERROR(INDEX(TravelExp[Incdl Charges],IF((ROW()-ROW(rStart))&gt;sEmpCount,-1,(sEmpPos+ROW()-ROW(rStart)-1))),"-")</f>
        <v>-</v>
      </c>
      <c r="AW23" s="43"/>
      <c r="AX23" s="43"/>
      <c r="AY23" s="43" t="str" cm="1">
        <f t="array" ref="AY23">IFERROR(INDEX(TravelExp[Communication Expenses],IF((ROW()-ROW(rStart))&gt;sEmpCount,-1,(sEmpPos+ROW()-ROW(rStart)-1))),"-")</f>
        <v>-</v>
      </c>
      <c r="AZ23" s="43"/>
      <c r="BA23" s="43"/>
      <c r="BB23" s="110" t="str" cm="1">
        <f t="array" ref="BB23">IFERROR(INDEX(TravelExp[Grand Total],IF((ROW()-ROW(rStart))&gt;sEmpCount,-1,(sEmpPos+ROW()-ROW(rStart)-1))),"-")</f>
        <v>-</v>
      </c>
      <c r="BC23" s="111"/>
      <c r="BD23" s="111"/>
      <c r="BE23" s="112"/>
      <c r="BF23" s="45" t="str" cm="1">
        <f t="array" ref="BF23">IFERROR(INDEX(TravelExp[Dur],IF((ROW()-ROW(rStart))&gt;sEmpCount,-1,(sEmpPos+ROW()-ROW(rStart)-1))),"-")</f>
        <v>-</v>
      </c>
      <c r="BG23" s="45"/>
      <c r="BH23" s="45"/>
    </row>
    <row r="24" spans="1:60" ht="14.7" customHeight="1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46" t="str">
        <f>IFERROR("Total Expenses From "&amp;TEXT(INDEX(TravelExp[Date],sEmpPos),"dd-mmm-yyyy")&amp;" To "&amp;CHAR(10) &amp; TEXT(INDEX(TravelExp[Date],sEmpPos+sEmpCount-1),"dd-mmm-yyyy"),"-")</f>
        <v>Total Expenses From 11-Oct-2022 To 
15-Oct-2022</v>
      </c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7"/>
      <c r="AJ24" s="37">
        <f>SUM(AJ8:AJ23)</f>
        <v>576</v>
      </c>
      <c r="AK24" s="37"/>
      <c r="AL24" s="38"/>
      <c r="AM24" s="36">
        <f>SUM(AM8:AM23)</f>
        <v>1000</v>
      </c>
      <c r="AN24" s="37"/>
      <c r="AO24" s="38"/>
      <c r="AP24" s="36">
        <f>SUM(AP8:AP23)</f>
        <v>0</v>
      </c>
      <c r="AQ24" s="37"/>
      <c r="AR24" s="38"/>
      <c r="AS24" s="36">
        <f>SUM(AS8:AS23)</f>
        <v>400</v>
      </c>
      <c r="AT24" s="37"/>
      <c r="AU24" s="38"/>
      <c r="AV24" s="36">
        <f>SUM(AV8:AV23)</f>
        <v>0</v>
      </c>
      <c r="AW24" s="37"/>
      <c r="AX24" s="38"/>
      <c r="AY24" s="36">
        <f>SUM(AY8:AY23)</f>
        <v>0</v>
      </c>
      <c r="AZ24" s="37"/>
      <c r="BA24" s="38"/>
      <c r="BB24" s="36">
        <f>SUM(BB8:BB23)</f>
        <v>1976</v>
      </c>
      <c r="BC24" s="37"/>
      <c r="BD24" s="37"/>
      <c r="BE24" s="38"/>
      <c r="BF24" s="36"/>
      <c r="BG24" s="37"/>
      <c r="BH24" s="38"/>
    </row>
    <row r="25" spans="1:60" ht="14.7" customHeight="1">
      <c r="A25" s="22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9"/>
      <c r="AJ25" s="40"/>
      <c r="AK25" s="40"/>
      <c r="AL25" s="41"/>
      <c r="AM25" s="39"/>
      <c r="AN25" s="40"/>
      <c r="AO25" s="41"/>
      <c r="AP25" s="39"/>
      <c r="AQ25" s="40"/>
      <c r="AR25" s="41"/>
      <c r="AS25" s="39"/>
      <c r="AT25" s="40"/>
      <c r="AU25" s="41"/>
      <c r="AV25" s="39"/>
      <c r="AW25" s="40"/>
      <c r="AX25" s="41"/>
      <c r="AY25" s="39"/>
      <c r="AZ25" s="40"/>
      <c r="BA25" s="41"/>
      <c r="BB25" s="39"/>
      <c r="BC25" s="40"/>
      <c r="BD25" s="40"/>
      <c r="BE25" s="41"/>
      <c r="BF25" s="39"/>
      <c r="BG25" s="40"/>
      <c r="BH25" s="41"/>
    </row>
    <row r="27" spans="1:60" ht="14.7" customHeight="1">
      <c r="A27" s="18" t="s">
        <v>240</v>
      </c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</row>
    <row r="28" spans="1:60" ht="14.7" customHeight="1">
      <c r="A28" s="18" t="s">
        <v>148</v>
      </c>
      <c r="B28" s="18"/>
      <c r="C28" s="18"/>
      <c r="D28" s="18"/>
      <c r="E28" s="18"/>
      <c r="F28" s="18"/>
      <c r="G28" s="25"/>
      <c r="H28" s="25"/>
      <c r="I28" s="25"/>
      <c r="J28" s="25"/>
      <c r="K28" s="24"/>
      <c r="M28" s="18" t="s">
        <v>150</v>
      </c>
      <c r="N28" s="18"/>
      <c r="O28" s="18"/>
      <c r="P28" s="18"/>
      <c r="Q28" s="18"/>
      <c r="R28" s="18"/>
      <c r="S28" s="25"/>
      <c r="T28" s="24"/>
      <c r="U28" s="24"/>
      <c r="V28" s="24"/>
      <c r="W28" s="24"/>
      <c r="Y28" s="18" t="s">
        <v>149</v>
      </c>
      <c r="Z28" s="18"/>
      <c r="AC28" s="25"/>
      <c r="AD28" s="24"/>
      <c r="AE28" s="24"/>
      <c r="AF28" s="24"/>
      <c r="AG28" s="24"/>
    </row>
    <row r="31" spans="1:60" ht="14.7" customHeight="1"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</row>
    <row r="32" spans="1:60" ht="14.7" customHeight="1">
      <c r="C32" s="4" t="s">
        <v>151</v>
      </c>
      <c r="D32" s="4"/>
      <c r="E32" s="4"/>
      <c r="F32" s="4"/>
      <c r="G32" s="4"/>
      <c r="H32" s="4"/>
      <c r="I32" s="4"/>
      <c r="J32" s="4"/>
      <c r="K32" s="4"/>
      <c r="L32" s="4"/>
      <c r="M32" s="4"/>
      <c r="Q32" s="4" t="s">
        <v>152</v>
      </c>
      <c r="R32" s="4"/>
      <c r="S32" s="4"/>
      <c r="T32" s="4"/>
      <c r="U32" s="4"/>
      <c r="V32" s="4"/>
      <c r="W32" s="4"/>
      <c r="X32" s="4"/>
      <c r="Y32" s="4"/>
      <c r="Z32" s="4"/>
      <c r="AA32" s="4"/>
      <c r="AE32" s="4" t="s">
        <v>153</v>
      </c>
      <c r="AF32" s="4"/>
      <c r="AG32" s="4"/>
      <c r="AH32" s="4"/>
      <c r="AI32" s="4"/>
      <c r="AJ32" s="4"/>
      <c r="AK32" s="4"/>
      <c r="AL32" s="4"/>
      <c r="AM32" s="4"/>
      <c r="AN32" s="4"/>
      <c r="AO32" s="4"/>
      <c r="AS32" s="4" t="s">
        <v>154</v>
      </c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</row>
  </sheetData>
  <mergeCells count="235">
    <mergeCell ref="BB24:BE25"/>
    <mergeCell ref="BB9:BE9"/>
    <mergeCell ref="BB10:BE10"/>
    <mergeCell ref="BB11:BE11"/>
    <mergeCell ref="BB12:BE12"/>
    <mergeCell ref="BB13:BE13"/>
    <mergeCell ref="BB14:BE14"/>
    <mergeCell ref="BB15:BE15"/>
    <mergeCell ref="BB16:BE16"/>
    <mergeCell ref="BB17:BE17"/>
    <mergeCell ref="S8:T8"/>
    <mergeCell ref="S9:T9"/>
    <mergeCell ref="BB23:BE23"/>
    <mergeCell ref="U8:AG8"/>
    <mergeCell ref="U9:AG9"/>
    <mergeCell ref="U10:AG10"/>
    <mergeCell ref="U11:AG11"/>
    <mergeCell ref="U12:AG12"/>
    <mergeCell ref="U13:AG13"/>
    <mergeCell ref="S23:T23"/>
    <mergeCell ref="AH8:AI8"/>
    <mergeCell ref="AH9:AI9"/>
    <mergeCell ref="AH10:AI10"/>
    <mergeCell ref="AH11:AI11"/>
    <mergeCell ref="AH12:AI12"/>
    <mergeCell ref="AH13:AI13"/>
    <mergeCell ref="AH14:AI14"/>
    <mergeCell ref="AH15:AI15"/>
    <mergeCell ref="AH16:AI16"/>
    <mergeCell ref="AH23:AI23"/>
    <mergeCell ref="AH19:AI19"/>
    <mergeCell ref="AH20:AI20"/>
    <mergeCell ref="AJ10:AL10"/>
    <mergeCell ref="AJ11:AL11"/>
    <mergeCell ref="F11:R11"/>
    <mergeCell ref="F12:R12"/>
    <mergeCell ref="F13:R13"/>
    <mergeCell ref="F22:R22"/>
    <mergeCell ref="F23:R23"/>
    <mergeCell ref="F17:R17"/>
    <mergeCell ref="F18:R18"/>
    <mergeCell ref="U23:AG23"/>
    <mergeCell ref="U14:AG14"/>
    <mergeCell ref="U15:AG15"/>
    <mergeCell ref="U16:AG16"/>
    <mergeCell ref="U17:AG17"/>
    <mergeCell ref="S13:T13"/>
    <mergeCell ref="S14:T14"/>
    <mergeCell ref="S12:T12"/>
    <mergeCell ref="F20:R20"/>
    <mergeCell ref="F21:R21"/>
    <mergeCell ref="U18:AG18"/>
    <mergeCell ref="U19:AG19"/>
    <mergeCell ref="S15:T15"/>
    <mergeCell ref="S16:T16"/>
    <mergeCell ref="AP7:AR7"/>
    <mergeCell ref="F19:R19"/>
    <mergeCell ref="U20:AG20"/>
    <mergeCell ref="U21:AG21"/>
    <mergeCell ref="AJ21:AL21"/>
    <mergeCell ref="AM17:AO17"/>
    <mergeCell ref="AM18:AO18"/>
    <mergeCell ref="AM19:AO19"/>
    <mergeCell ref="AM20:AO20"/>
    <mergeCell ref="AM21:AO21"/>
    <mergeCell ref="S17:T17"/>
    <mergeCell ref="S18:T18"/>
    <mergeCell ref="S19:T19"/>
    <mergeCell ref="S20:T20"/>
    <mergeCell ref="S21:T21"/>
    <mergeCell ref="AJ17:AL17"/>
    <mergeCell ref="AJ18:AL18"/>
    <mergeCell ref="AJ19:AL19"/>
    <mergeCell ref="AJ20:AL20"/>
    <mergeCell ref="F14:R14"/>
    <mergeCell ref="F15:R15"/>
    <mergeCell ref="F16:R16"/>
    <mergeCell ref="S10:T10"/>
    <mergeCell ref="S11:T11"/>
    <mergeCell ref="AJ12:AL12"/>
    <mergeCell ref="AJ13:AL13"/>
    <mergeCell ref="AJ14:AL14"/>
    <mergeCell ref="AJ15:AL15"/>
    <mergeCell ref="AJ16:AL16"/>
    <mergeCell ref="AP14:AR14"/>
    <mergeCell ref="AP15:AR15"/>
    <mergeCell ref="AM14:AO14"/>
    <mergeCell ref="AM15:AO15"/>
    <mergeCell ref="AS15:AU15"/>
    <mergeCell ref="AP9:AR9"/>
    <mergeCell ref="AP10:AR10"/>
    <mergeCell ref="AP11:AR11"/>
    <mergeCell ref="AP12:AR12"/>
    <mergeCell ref="AP13:AR13"/>
    <mergeCell ref="AM12:AO12"/>
    <mergeCell ref="AM13:AO13"/>
    <mergeCell ref="AM16:AO16"/>
    <mergeCell ref="AM9:AO9"/>
    <mergeCell ref="AM10:AO10"/>
    <mergeCell ref="AM11:AO11"/>
    <mergeCell ref="AY20:BA20"/>
    <mergeCell ref="AY21:BA21"/>
    <mergeCell ref="AY22:BA22"/>
    <mergeCell ref="BB5:BE6"/>
    <mergeCell ref="BB7:BE7"/>
    <mergeCell ref="BB8:BE8"/>
    <mergeCell ref="AY5:BA7"/>
    <mergeCell ref="AY8:BA8"/>
    <mergeCell ref="AY9:BA9"/>
    <mergeCell ref="AY10:BA10"/>
    <mergeCell ref="AY11:BA11"/>
    <mergeCell ref="AY12:BA12"/>
    <mergeCell ref="AY13:BA13"/>
    <mergeCell ref="AY14:BA14"/>
    <mergeCell ref="AY15:BA15"/>
    <mergeCell ref="BB18:BE18"/>
    <mergeCell ref="BB19:BE19"/>
    <mergeCell ref="BB20:BE20"/>
    <mergeCell ref="BB21:BE21"/>
    <mergeCell ref="BB22:BE22"/>
    <mergeCell ref="BF11:BH11"/>
    <mergeCell ref="BF12:BH12"/>
    <mergeCell ref="BF13:BH13"/>
    <mergeCell ref="BF14:BH14"/>
    <mergeCell ref="BF15:BH15"/>
    <mergeCell ref="BF16:BH16"/>
    <mergeCell ref="AP8:AR8"/>
    <mergeCell ref="AM5:AR6"/>
    <mergeCell ref="AY16:BA16"/>
    <mergeCell ref="AV11:AX11"/>
    <mergeCell ref="AV12:AX12"/>
    <mergeCell ref="AV13:AX13"/>
    <mergeCell ref="AV14:AX14"/>
    <mergeCell ref="AV15:AX15"/>
    <mergeCell ref="AS16:AU16"/>
    <mergeCell ref="AS5:AU7"/>
    <mergeCell ref="AS8:AU8"/>
    <mergeCell ref="AS9:AU9"/>
    <mergeCell ref="AS10:AU10"/>
    <mergeCell ref="AS11:AU11"/>
    <mergeCell ref="AS12:AU12"/>
    <mergeCell ref="AS13:AU13"/>
    <mergeCell ref="AS14:AU14"/>
    <mergeCell ref="AP16:AR16"/>
    <mergeCell ref="A5:E6"/>
    <mergeCell ref="A7:E7"/>
    <mergeCell ref="BF8:BH8"/>
    <mergeCell ref="BF9:BH9"/>
    <mergeCell ref="BF10:BH10"/>
    <mergeCell ref="F5:T6"/>
    <mergeCell ref="U5:AI6"/>
    <mergeCell ref="F7:R7"/>
    <mergeCell ref="S7:T7"/>
    <mergeCell ref="U7:AG7"/>
    <mergeCell ref="AH7:AI7"/>
    <mergeCell ref="F8:R8"/>
    <mergeCell ref="F9:R9"/>
    <mergeCell ref="F10:R10"/>
    <mergeCell ref="AV5:AX7"/>
    <mergeCell ref="AV8:AX8"/>
    <mergeCell ref="AV9:AX9"/>
    <mergeCell ref="AV10:AX10"/>
    <mergeCell ref="AM7:AO7"/>
    <mergeCell ref="BF5:BH7"/>
    <mergeCell ref="AJ5:AL7"/>
    <mergeCell ref="AM8:AO8"/>
    <mergeCell ref="AJ8:AL8"/>
    <mergeCell ref="AJ9:AL9"/>
    <mergeCell ref="A17:E17"/>
    <mergeCell ref="A18:E18"/>
    <mergeCell ref="A19:E19"/>
    <mergeCell ref="A20:E20"/>
    <mergeCell ref="A21:E21"/>
    <mergeCell ref="A22:E22"/>
    <mergeCell ref="AV17:AX17"/>
    <mergeCell ref="AV18:AX18"/>
    <mergeCell ref="AV19:AX19"/>
    <mergeCell ref="AV20:AX20"/>
    <mergeCell ref="AV21:AX21"/>
    <mergeCell ref="AS17:AU17"/>
    <mergeCell ref="AS18:AU18"/>
    <mergeCell ref="AS19:AU19"/>
    <mergeCell ref="AS20:AU20"/>
    <mergeCell ref="AP18:AR18"/>
    <mergeCell ref="AP19:AR19"/>
    <mergeCell ref="AP20:AR20"/>
    <mergeCell ref="AP21:AR21"/>
    <mergeCell ref="AP17:AR17"/>
    <mergeCell ref="S22:T22"/>
    <mergeCell ref="AH17:AI17"/>
    <mergeCell ref="AH18:AI18"/>
    <mergeCell ref="U22:AG22"/>
    <mergeCell ref="A8:E8"/>
    <mergeCell ref="A9:E9"/>
    <mergeCell ref="A10:E10"/>
    <mergeCell ref="A11:E11"/>
    <mergeCell ref="A12:E12"/>
    <mergeCell ref="A13:E13"/>
    <mergeCell ref="A14:E14"/>
    <mergeCell ref="A15:E15"/>
    <mergeCell ref="A16:E16"/>
    <mergeCell ref="U24:AI25"/>
    <mergeCell ref="AJ24:AL25"/>
    <mergeCell ref="AM24:AO25"/>
    <mergeCell ref="AP24:AR25"/>
    <mergeCell ref="AS24:AU25"/>
    <mergeCell ref="AV24:AX25"/>
    <mergeCell ref="AH21:AI21"/>
    <mergeCell ref="AH22:AI22"/>
    <mergeCell ref="A23:E23"/>
    <mergeCell ref="AP23:AR23"/>
    <mergeCell ref="AY24:BA25"/>
    <mergeCell ref="BF24:BH25"/>
    <mergeCell ref="AV16:AX16"/>
    <mergeCell ref="AY23:BA23"/>
    <mergeCell ref="AV23:AX23"/>
    <mergeCell ref="AS23:AU23"/>
    <mergeCell ref="AM22:AO22"/>
    <mergeCell ref="AM23:AO23"/>
    <mergeCell ref="AJ22:AL22"/>
    <mergeCell ref="AJ23:AL23"/>
    <mergeCell ref="BF17:BH17"/>
    <mergeCell ref="AV22:AX22"/>
    <mergeCell ref="AP22:AR22"/>
    <mergeCell ref="AS21:AU21"/>
    <mergeCell ref="AS22:AU22"/>
    <mergeCell ref="BF21:BH21"/>
    <mergeCell ref="BF22:BH22"/>
    <mergeCell ref="BF23:BH23"/>
    <mergeCell ref="BF18:BH18"/>
    <mergeCell ref="BF19:BH19"/>
    <mergeCell ref="BF20:BH20"/>
    <mergeCell ref="AY17:BA17"/>
    <mergeCell ref="AY18:BA18"/>
    <mergeCell ref="AY19:BA19"/>
  </mergeCells>
  <conditionalFormatting sqref="AM8:AM23">
    <cfRule type="expression" dxfId="14" priority="2">
      <formula>$AM8&gt;#REF!</formula>
    </cfRule>
  </conditionalFormatting>
  <dataValidations count="1">
    <dataValidation type="list" allowBlank="1" showInputMessage="1" showErrorMessage="1" sqref="A2" xr:uid="{00000000-0002-0000-0500-000000000000}">
      <formula1>EmpLstTE</formula1>
    </dataValidation>
  </dataValidations>
  <pageMargins left="0.70866141732283472" right="0.70866141732283472" top="0.74803149606299213" bottom="0.74803149606299213" header="0.31496062992125984" footer="0.31496062992125984"/>
  <pageSetup paperSize="9" scale="75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08"/>
  <dimension ref="A1:I60"/>
  <sheetViews>
    <sheetView showGridLines="0" workbookViewId="0">
      <selection activeCell="A4" sqref="A4:I60"/>
    </sheetView>
  </sheetViews>
  <sheetFormatPr defaultRowHeight="13.2"/>
  <cols>
    <col min="1" max="1" width="15.6640625" customWidth="1"/>
    <col min="2" max="2" width="17.6640625" bestFit="1" customWidth="1"/>
    <col min="3" max="3" width="24.44140625" bestFit="1" customWidth="1"/>
    <col min="4" max="4" width="13.88671875" bestFit="1" customWidth="1"/>
    <col min="5" max="5" width="29.33203125" bestFit="1" customWidth="1"/>
    <col min="6" max="6" width="132" bestFit="1" customWidth="1"/>
    <col min="7" max="7" width="12.6640625" bestFit="1" customWidth="1"/>
    <col min="8" max="8" width="114" bestFit="1" customWidth="1"/>
    <col min="9" max="9" width="11.88671875" bestFit="1" customWidth="1"/>
  </cols>
  <sheetData>
    <row r="1" spans="1:9" ht="23.7" customHeight="1">
      <c r="A1" s="30" t="s">
        <v>160</v>
      </c>
      <c r="B1" s="28"/>
      <c r="C1" s="30" t="s">
        <v>161</v>
      </c>
      <c r="D1" s="30">
        <f>SUBTOTAL(3,NegTimeErrs[Employee Code])</f>
        <v>56</v>
      </c>
      <c r="E1" s="28"/>
      <c r="F1" s="28"/>
      <c r="G1" s="28"/>
      <c r="H1" s="28"/>
      <c r="I1" s="28"/>
    </row>
    <row r="3" spans="1:9" ht="19.2" customHeight="1"/>
    <row r="4" spans="1:9">
      <c r="A4" t="s">
        <v>10</v>
      </c>
      <c r="B4" t="s">
        <v>12</v>
      </c>
      <c r="C4" t="s">
        <v>13</v>
      </c>
      <c r="D4" t="s">
        <v>122</v>
      </c>
      <c r="E4" t="s">
        <v>129</v>
      </c>
      <c r="F4" t="s">
        <v>14</v>
      </c>
      <c r="G4" t="s">
        <v>123</v>
      </c>
      <c r="H4" t="s">
        <v>15</v>
      </c>
      <c r="I4" t="s">
        <v>124</v>
      </c>
    </row>
    <row r="5" spans="1:9">
      <c r="A5" s="6">
        <v>44835</v>
      </c>
      <c r="B5" t="s">
        <v>31</v>
      </c>
      <c r="C5" t="s">
        <v>32</v>
      </c>
      <c r="D5" t="s">
        <v>163</v>
      </c>
      <c r="E5" t="s">
        <v>166</v>
      </c>
      <c r="F5" t="s">
        <v>1122</v>
      </c>
      <c r="G5" s="29">
        <v>0.30972222222222223</v>
      </c>
      <c r="H5" t="s">
        <v>1123</v>
      </c>
      <c r="I5" s="29">
        <v>6.2500000000000003E-3</v>
      </c>
    </row>
    <row r="6" spans="1:9">
      <c r="A6" s="6">
        <v>44835</v>
      </c>
      <c r="B6" t="s">
        <v>61</v>
      </c>
      <c r="C6" t="s">
        <v>62</v>
      </c>
      <c r="D6" t="s">
        <v>163</v>
      </c>
      <c r="E6" t="s">
        <v>194</v>
      </c>
      <c r="F6" t="s">
        <v>1244</v>
      </c>
      <c r="G6" s="29">
        <v>0.37361111111111112</v>
      </c>
      <c r="H6" t="s">
        <v>1244</v>
      </c>
      <c r="I6" s="29">
        <v>4.8611111111111112E-3</v>
      </c>
    </row>
    <row r="7" spans="1:9">
      <c r="A7" s="6">
        <v>44835</v>
      </c>
      <c r="B7" t="s">
        <v>941</v>
      </c>
      <c r="C7" t="s">
        <v>942</v>
      </c>
      <c r="D7" t="s">
        <v>163</v>
      </c>
      <c r="E7" t="s">
        <v>1229</v>
      </c>
      <c r="F7" t="s">
        <v>1556</v>
      </c>
      <c r="G7" s="29">
        <v>0.33819444444444446</v>
      </c>
      <c r="H7" t="s">
        <v>1557</v>
      </c>
      <c r="I7" s="29">
        <v>0.27083333333333331</v>
      </c>
    </row>
    <row r="8" spans="1:9">
      <c r="A8" s="6">
        <v>44837</v>
      </c>
      <c r="B8" t="s">
        <v>66</v>
      </c>
      <c r="C8" t="s">
        <v>67</v>
      </c>
      <c r="D8" t="s">
        <v>163</v>
      </c>
      <c r="E8" t="s">
        <v>171</v>
      </c>
      <c r="F8" t="s">
        <v>1448</v>
      </c>
      <c r="G8" s="29">
        <v>0.3347222222222222</v>
      </c>
      <c r="H8" t="s">
        <v>1450</v>
      </c>
      <c r="I8" s="29">
        <v>0.32777777777777778</v>
      </c>
    </row>
    <row r="9" spans="1:9">
      <c r="A9" s="6">
        <v>44837</v>
      </c>
      <c r="B9" t="s">
        <v>953</v>
      </c>
      <c r="C9" t="s">
        <v>954</v>
      </c>
      <c r="D9" t="s">
        <v>163</v>
      </c>
      <c r="E9" t="s">
        <v>168</v>
      </c>
      <c r="F9" t="s">
        <v>1570</v>
      </c>
      <c r="G9" s="29">
        <v>0.5229166666666667</v>
      </c>
      <c r="H9" t="s">
        <v>1571</v>
      </c>
      <c r="I9" s="29">
        <v>0.48680555555555555</v>
      </c>
    </row>
    <row r="10" spans="1:9">
      <c r="A10" s="6">
        <v>44837</v>
      </c>
      <c r="B10" t="s">
        <v>955</v>
      </c>
      <c r="C10" t="s">
        <v>956</v>
      </c>
      <c r="E10" t="s">
        <v>194</v>
      </c>
      <c r="F10" t="s">
        <v>1575</v>
      </c>
      <c r="G10" s="29">
        <v>0.44583333333333336</v>
      </c>
      <c r="H10" t="s">
        <v>1577</v>
      </c>
      <c r="I10" s="29">
        <v>0.30625000000000002</v>
      </c>
    </row>
    <row r="11" spans="1:9">
      <c r="A11" s="6">
        <v>44838</v>
      </c>
      <c r="B11" t="s">
        <v>96</v>
      </c>
      <c r="C11" t="s">
        <v>97</v>
      </c>
      <c r="D11" t="s">
        <v>163</v>
      </c>
      <c r="E11" t="s">
        <v>166</v>
      </c>
      <c r="F11" t="s">
        <v>1157</v>
      </c>
      <c r="G11" s="29">
        <v>0.33888888888888891</v>
      </c>
      <c r="H11" t="s">
        <v>1158</v>
      </c>
      <c r="I11" s="29">
        <v>3.472222222222222E-3</v>
      </c>
    </row>
    <row r="12" spans="1:9">
      <c r="A12" s="6">
        <v>44838</v>
      </c>
      <c r="B12" t="s">
        <v>88</v>
      </c>
      <c r="C12" t="s">
        <v>89</v>
      </c>
      <c r="D12" t="s">
        <v>163</v>
      </c>
      <c r="E12" t="s">
        <v>167</v>
      </c>
      <c r="F12" t="s">
        <v>1241</v>
      </c>
      <c r="G12" s="29">
        <v>0.47986111111111113</v>
      </c>
      <c r="H12" t="s">
        <v>1243</v>
      </c>
      <c r="I12" s="29">
        <v>0.4236111111111111</v>
      </c>
    </row>
    <row r="13" spans="1:9">
      <c r="A13" s="6">
        <v>44838</v>
      </c>
      <c r="B13" t="s">
        <v>82</v>
      </c>
      <c r="C13" t="s">
        <v>83</v>
      </c>
      <c r="D13" t="s">
        <v>163</v>
      </c>
      <c r="E13" t="s">
        <v>171</v>
      </c>
      <c r="F13" t="s">
        <v>1471</v>
      </c>
      <c r="G13" s="29">
        <v>0.33055555555555555</v>
      </c>
      <c r="H13" t="s">
        <v>1472</v>
      </c>
      <c r="I13" s="29">
        <v>0.31944444444444442</v>
      </c>
    </row>
    <row r="14" spans="1:9">
      <c r="A14" s="6">
        <v>44838</v>
      </c>
      <c r="B14" t="s">
        <v>953</v>
      </c>
      <c r="C14" t="s">
        <v>954</v>
      </c>
      <c r="D14" t="s">
        <v>163</v>
      </c>
      <c r="E14" t="s">
        <v>168</v>
      </c>
      <c r="F14" t="s">
        <v>1571</v>
      </c>
      <c r="G14" s="29">
        <v>0.48680555555555555</v>
      </c>
      <c r="H14" t="s">
        <v>1568</v>
      </c>
      <c r="I14" s="29">
        <v>0.48055555555555557</v>
      </c>
    </row>
    <row r="15" spans="1:9">
      <c r="A15" s="6">
        <v>44839</v>
      </c>
      <c r="B15" t="s">
        <v>37</v>
      </c>
      <c r="C15" t="s">
        <v>38</v>
      </c>
      <c r="D15" t="s">
        <v>163</v>
      </c>
      <c r="E15" t="s">
        <v>194</v>
      </c>
      <c r="F15" t="s">
        <v>1536</v>
      </c>
      <c r="G15" s="29">
        <v>0.36666666666666664</v>
      </c>
      <c r="H15" t="s">
        <v>1535</v>
      </c>
      <c r="I15" s="29">
        <v>0.27152777777777776</v>
      </c>
    </row>
    <row r="16" spans="1:9">
      <c r="A16" s="6">
        <v>44839</v>
      </c>
      <c r="B16" t="s">
        <v>953</v>
      </c>
      <c r="C16" t="s">
        <v>954</v>
      </c>
      <c r="D16" t="s">
        <v>163</v>
      </c>
      <c r="E16" t="s">
        <v>168</v>
      </c>
      <c r="F16" t="s">
        <v>1568</v>
      </c>
      <c r="G16" s="29">
        <v>0.48055555555555557</v>
      </c>
      <c r="H16" t="s">
        <v>1568</v>
      </c>
      <c r="I16" s="29">
        <v>0.40138888888888891</v>
      </c>
    </row>
    <row r="17" spans="1:9">
      <c r="A17" s="6">
        <v>44839</v>
      </c>
      <c r="B17" t="s">
        <v>955</v>
      </c>
      <c r="C17" t="s">
        <v>956</v>
      </c>
      <c r="E17" t="s">
        <v>194</v>
      </c>
      <c r="F17" t="s">
        <v>1578</v>
      </c>
      <c r="G17" s="29">
        <v>0.42152777777777778</v>
      </c>
      <c r="H17" t="s">
        <v>1579</v>
      </c>
      <c r="I17" s="29">
        <v>0.37361111111111112</v>
      </c>
    </row>
    <row r="18" spans="1:9">
      <c r="A18" s="6">
        <v>44840</v>
      </c>
      <c r="B18" t="s">
        <v>88</v>
      </c>
      <c r="C18" t="s">
        <v>89</v>
      </c>
      <c r="D18" t="s">
        <v>163</v>
      </c>
      <c r="E18" t="s">
        <v>167</v>
      </c>
      <c r="F18" t="s">
        <v>1243</v>
      </c>
      <c r="G18" s="29">
        <v>0.4236111111111111</v>
      </c>
      <c r="H18" t="s">
        <v>165</v>
      </c>
      <c r="I18" s="29">
        <v>0.27500000000000002</v>
      </c>
    </row>
    <row r="19" spans="1:9">
      <c r="A19" s="6">
        <v>44840</v>
      </c>
      <c r="B19" t="s">
        <v>21</v>
      </c>
      <c r="C19" t="s">
        <v>22</v>
      </c>
      <c r="D19" t="s">
        <v>163</v>
      </c>
      <c r="E19" t="s">
        <v>214</v>
      </c>
      <c r="F19" t="s">
        <v>1355</v>
      </c>
      <c r="G19" s="29">
        <v>0.50624999999999998</v>
      </c>
      <c r="H19" t="s">
        <v>215</v>
      </c>
      <c r="I19" s="29">
        <v>6.9444444444444447E-4</v>
      </c>
    </row>
    <row r="20" spans="1:9">
      <c r="A20" s="6">
        <v>44841</v>
      </c>
      <c r="B20" t="s">
        <v>82</v>
      </c>
      <c r="C20" t="s">
        <v>83</v>
      </c>
      <c r="D20" t="s">
        <v>163</v>
      </c>
      <c r="E20" t="s">
        <v>171</v>
      </c>
      <c r="F20" t="s">
        <v>1471</v>
      </c>
      <c r="G20" s="29">
        <v>0.40625</v>
      </c>
      <c r="H20" t="s">
        <v>1471</v>
      </c>
      <c r="I20" s="29">
        <v>0.31458333333333333</v>
      </c>
    </row>
    <row r="21" spans="1:9">
      <c r="A21" s="6">
        <v>44841</v>
      </c>
      <c r="B21" t="s">
        <v>72</v>
      </c>
      <c r="C21" t="s">
        <v>73</v>
      </c>
      <c r="D21" t="s">
        <v>163</v>
      </c>
      <c r="E21" t="s">
        <v>171</v>
      </c>
      <c r="F21" t="s">
        <v>1512</v>
      </c>
      <c r="G21" s="29">
        <v>0.39930555555555558</v>
      </c>
      <c r="H21" t="s">
        <v>1513</v>
      </c>
      <c r="I21" s="29">
        <v>0.3611111111111111</v>
      </c>
    </row>
    <row r="22" spans="1:9">
      <c r="A22" s="6">
        <v>44841</v>
      </c>
      <c r="B22" t="s">
        <v>953</v>
      </c>
      <c r="C22" t="s">
        <v>954</v>
      </c>
      <c r="D22" t="s">
        <v>163</v>
      </c>
      <c r="E22" t="s">
        <v>168</v>
      </c>
      <c r="F22" t="s">
        <v>1568</v>
      </c>
      <c r="G22" s="29">
        <v>0.51111111111111107</v>
      </c>
      <c r="H22" t="s">
        <v>1568</v>
      </c>
      <c r="I22" s="29">
        <v>0.47499999999999998</v>
      </c>
    </row>
    <row r="23" spans="1:9">
      <c r="A23" s="6">
        <v>44842</v>
      </c>
      <c r="B23" t="s">
        <v>31</v>
      </c>
      <c r="C23" t="s">
        <v>32</v>
      </c>
      <c r="D23" t="s">
        <v>163</v>
      </c>
      <c r="E23" t="s">
        <v>166</v>
      </c>
      <c r="F23" t="s">
        <v>1133</v>
      </c>
      <c r="G23" s="29">
        <v>0.32500000000000001</v>
      </c>
      <c r="H23" t="s">
        <v>1128</v>
      </c>
      <c r="I23" s="29">
        <v>0.10625</v>
      </c>
    </row>
    <row r="24" spans="1:9">
      <c r="A24" s="6">
        <v>44842</v>
      </c>
      <c r="B24" t="s">
        <v>47</v>
      </c>
      <c r="C24" t="s">
        <v>48</v>
      </c>
      <c r="D24" t="s">
        <v>163</v>
      </c>
      <c r="E24" t="s">
        <v>1210</v>
      </c>
      <c r="F24" t="s">
        <v>1212</v>
      </c>
      <c r="G24" s="29">
        <v>0.45208333333333334</v>
      </c>
      <c r="H24" t="s">
        <v>1213</v>
      </c>
      <c r="I24" s="29">
        <v>0.35694444444444445</v>
      </c>
    </row>
    <row r="25" spans="1:9">
      <c r="A25" s="6">
        <v>44842</v>
      </c>
      <c r="B25" t="s">
        <v>490</v>
      </c>
      <c r="C25" t="s">
        <v>491</v>
      </c>
      <c r="D25" t="s">
        <v>163</v>
      </c>
      <c r="E25" t="s">
        <v>167</v>
      </c>
      <c r="F25" t="s">
        <v>1224</v>
      </c>
      <c r="G25" s="29">
        <v>0.13472222222222222</v>
      </c>
      <c r="H25" t="s">
        <v>1225</v>
      </c>
      <c r="I25" s="29">
        <v>2.7083333333333334E-2</v>
      </c>
    </row>
    <row r="26" spans="1:9">
      <c r="A26" s="6">
        <v>44842</v>
      </c>
      <c r="B26" t="s">
        <v>88</v>
      </c>
      <c r="C26" t="s">
        <v>89</v>
      </c>
      <c r="D26" t="s">
        <v>163</v>
      </c>
      <c r="E26" t="s">
        <v>167</v>
      </c>
      <c r="F26" t="s">
        <v>1241</v>
      </c>
      <c r="G26" s="29">
        <v>0.28472222222222221</v>
      </c>
      <c r="H26" t="s">
        <v>1243</v>
      </c>
      <c r="I26" s="29">
        <v>0.2590277777777778</v>
      </c>
    </row>
    <row r="27" spans="1:9">
      <c r="A27" s="6">
        <v>44842</v>
      </c>
      <c r="B27" t="s">
        <v>51</v>
      </c>
      <c r="C27" t="s">
        <v>611</v>
      </c>
      <c r="D27" t="s">
        <v>163</v>
      </c>
      <c r="E27" t="s">
        <v>167</v>
      </c>
      <c r="F27" t="s">
        <v>1301</v>
      </c>
      <c r="G27" s="29">
        <v>0.3888888888888889</v>
      </c>
      <c r="H27" t="s">
        <v>203</v>
      </c>
      <c r="I27" s="29">
        <v>0.3659722222222222</v>
      </c>
    </row>
    <row r="28" spans="1:9">
      <c r="A28" s="6">
        <v>44842</v>
      </c>
      <c r="B28" t="s">
        <v>82</v>
      </c>
      <c r="C28" t="s">
        <v>83</v>
      </c>
      <c r="D28" t="s">
        <v>163</v>
      </c>
      <c r="E28" t="s">
        <v>171</v>
      </c>
      <c r="F28" t="s">
        <v>1471</v>
      </c>
      <c r="G28" s="29">
        <v>0.31458333333333333</v>
      </c>
      <c r="H28" t="s">
        <v>1471</v>
      </c>
      <c r="I28" s="29">
        <v>0.30555555555555558</v>
      </c>
    </row>
    <row r="29" spans="1:9">
      <c r="A29" s="6">
        <v>44842</v>
      </c>
      <c r="B29" t="s">
        <v>955</v>
      </c>
      <c r="C29" t="s">
        <v>956</v>
      </c>
      <c r="E29" t="s">
        <v>194</v>
      </c>
      <c r="F29" t="s">
        <v>1581</v>
      </c>
      <c r="G29" s="29">
        <v>0.51875000000000004</v>
      </c>
      <c r="H29" t="s">
        <v>1582</v>
      </c>
      <c r="I29" s="29">
        <v>0.4201388888888889</v>
      </c>
    </row>
    <row r="30" spans="1:9">
      <c r="A30" s="6">
        <v>44842</v>
      </c>
      <c r="B30" t="s">
        <v>971</v>
      </c>
      <c r="C30" t="s">
        <v>972</v>
      </c>
      <c r="D30" t="s">
        <v>163</v>
      </c>
      <c r="E30" t="s">
        <v>171</v>
      </c>
      <c r="F30" t="s">
        <v>1587</v>
      </c>
      <c r="G30" s="29">
        <v>0.50972222222222219</v>
      </c>
      <c r="H30" t="s">
        <v>1591</v>
      </c>
      <c r="I30" s="29">
        <v>0.36319444444444443</v>
      </c>
    </row>
    <row r="31" spans="1:9">
      <c r="A31" s="6">
        <v>44842</v>
      </c>
      <c r="B31" t="s">
        <v>45</v>
      </c>
      <c r="C31" t="s">
        <v>46</v>
      </c>
      <c r="D31" t="s">
        <v>163</v>
      </c>
      <c r="E31" t="s">
        <v>211</v>
      </c>
      <c r="F31" t="s">
        <v>1607</v>
      </c>
      <c r="G31" s="29">
        <v>0.46319444444444446</v>
      </c>
      <c r="H31" t="s">
        <v>1608</v>
      </c>
      <c r="I31" s="29">
        <v>0.39097222222222222</v>
      </c>
    </row>
    <row r="32" spans="1:9">
      <c r="A32" s="6">
        <v>44843</v>
      </c>
      <c r="B32" t="s">
        <v>502</v>
      </c>
      <c r="C32" t="s">
        <v>503</v>
      </c>
      <c r="D32" t="s">
        <v>163</v>
      </c>
      <c r="E32" t="s">
        <v>1229</v>
      </c>
      <c r="F32" t="s">
        <v>1231</v>
      </c>
      <c r="G32" s="29">
        <v>0.43541666666666667</v>
      </c>
      <c r="H32" t="s">
        <v>1236</v>
      </c>
      <c r="I32" s="29">
        <v>0.41041666666666665</v>
      </c>
    </row>
    <row r="33" spans="1:9">
      <c r="A33" s="6">
        <v>44843</v>
      </c>
      <c r="B33" t="s">
        <v>729</v>
      </c>
      <c r="C33" t="s">
        <v>730</v>
      </c>
      <c r="D33" t="s">
        <v>163</v>
      </c>
      <c r="E33" t="s">
        <v>168</v>
      </c>
      <c r="F33" t="s">
        <v>1396</v>
      </c>
      <c r="G33" s="29">
        <v>0.41805555555555557</v>
      </c>
      <c r="H33" t="s">
        <v>1400</v>
      </c>
      <c r="I33" s="29">
        <v>2.5694444444444443E-2</v>
      </c>
    </row>
    <row r="34" spans="1:9">
      <c r="A34" s="6">
        <v>44843</v>
      </c>
      <c r="B34" t="s">
        <v>837</v>
      </c>
      <c r="C34" t="s">
        <v>838</v>
      </c>
      <c r="E34" t="s">
        <v>194</v>
      </c>
      <c r="F34" t="s">
        <v>1479</v>
      </c>
      <c r="G34" s="29">
        <v>0.46666666666666667</v>
      </c>
      <c r="H34" t="s">
        <v>1480</v>
      </c>
      <c r="I34" s="29">
        <v>0.3298611111111111</v>
      </c>
    </row>
    <row r="35" spans="1:9">
      <c r="A35" s="6">
        <v>44843</v>
      </c>
      <c r="B35" t="s">
        <v>955</v>
      </c>
      <c r="C35" t="s">
        <v>956</v>
      </c>
      <c r="E35" t="s">
        <v>194</v>
      </c>
      <c r="F35" t="s">
        <v>1582</v>
      </c>
      <c r="G35" s="29">
        <v>0.4201388888888889</v>
      </c>
      <c r="H35" t="s">
        <v>1583</v>
      </c>
      <c r="I35" s="29">
        <v>0.39513888888888887</v>
      </c>
    </row>
    <row r="36" spans="1:9">
      <c r="A36" s="6">
        <v>44843</v>
      </c>
      <c r="B36" t="s">
        <v>45</v>
      </c>
      <c r="C36" t="s">
        <v>46</v>
      </c>
      <c r="D36" t="s">
        <v>163</v>
      </c>
      <c r="E36" t="s">
        <v>211</v>
      </c>
      <c r="F36" t="s">
        <v>1608</v>
      </c>
      <c r="G36" s="29">
        <v>0.39097222222222222</v>
      </c>
      <c r="H36" t="s">
        <v>1608</v>
      </c>
      <c r="I36" s="29">
        <v>0.33124999999999999</v>
      </c>
    </row>
    <row r="37" spans="1:9">
      <c r="A37" s="6">
        <v>44844</v>
      </c>
      <c r="B37" t="s">
        <v>955</v>
      </c>
      <c r="C37" t="s">
        <v>956</v>
      </c>
      <c r="E37" t="s">
        <v>194</v>
      </c>
      <c r="F37" t="s">
        <v>1583</v>
      </c>
      <c r="G37" s="29">
        <v>0.39513888888888887</v>
      </c>
      <c r="H37" t="s">
        <v>1584</v>
      </c>
      <c r="I37" s="29">
        <v>0.38680555555555557</v>
      </c>
    </row>
    <row r="38" spans="1:9">
      <c r="A38" s="6">
        <v>44845</v>
      </c>
      <c r="B38" t="s">
        <v>340</v>
      </c>
      <c r="C38" t="s">
        <v>341</v>
      </c>
      <c r="D38" t="s">
        <v>163</v>
      </c>
      <c r="E38" t="s">
        <v>167</v>
      </c>
      <c r="F38" t="s">
        <v>1092</v>
      </c>
      <c r="G38" s="29">
        <v>0.28402777777777777</v>
      </c>
      <c r="H38" t="s">
        <v>1092</v>
      </c>
      <c r="I38" s="29">
        <v>7.3611111111111113E-2</v>
      </c>
    </row>
    <row r="39" spans="1:9">
      <c r="A39" s="6">
        <v>44845</v>
      </c>
      <c r="B39" t="s">
        <v>47</v>
      </c>
      <c r="C39" t="s">
        <v>48</v>
      </c>
      <c r="D39" t="s">
        <v>163</v>
      </c>
      <c r="E39" t="s">
        <v>1210</v>
      </c>
      <c r="F39" t="s">
        <v>1213</v>
      </c>
      <c r="G39" s="29">
        <v>0.47638888888888886</v>
      </c>
      <c r="H39" t="s">
        <v>1214</v>
      </c>
      <c r="I39" s="29">
        <v>0.47361111111111109</v>
      </c>
    </row>
    <row r="40" spans="1:9">
      <c r="A40" s="6">
        <v>44845</v>
      </c>
      <c r="B40" t="s">
        <v>88</v>
      </c>
      <c r="C40" t="s">
        <v>89</v>
      </c>
      <c r="D40" t="s">
        <v>163</v>
      </c>
      <c r="E40" t="s">
        <v>167</v>
      </c>
      <c r="F40" t="s">
        <v>197</v>
      </c>
      <c r="G40" s="29">
        <v>0.42916666666666664</v>
      </c>
      <c r="H40" t="s">
        <v>1241</v>
      </c>
      <c r="I40" s="29">
        <v>0.38263888888888886</v>
      </c>
    </row>
    <row r="41" spans="1:9">
      <c r="A41" s="6">
        <v>44845</v>
      </c>
      <c r="B41" t="s">
        <v>768</v>
      </c>
      <c r="C41" t="s">
        <v>769</v>
      </c>
      <c r="D41" t="s">
        <v>163</v>
      </c>
      <c r="E41" t="s">
        <v>166</v>
      </c>
      <c r="F41" t="s">
        <v>1416</v>
      </c>
      <c r="G41" s="29">
        <v>0.46944444444444444</v>
      </c>
      <c r="H41" t="s">
        <v>1412</v>
      </c>
      <c r="I41" s="29">
        <v>2.0833333333333333E-3</v>
      </c>
    </row>
    <row r="42" spans="1:9">
      <c r="A42" s="6">
        <v>44845</v>
      </c>
      <c r="B42" t="s">
        <v>82</v>
      </c>
      <c r="C42" t="s">
        <v>83</v>
      </c>
      <c r="D42" t="s">
        <v>163</v>
      </c>
      <c r="E42" t="s">
        <v>171</v>
      </c>
      <c r="F42" t="s">
        <v>1471</v>
      </c>
      <c r="G42" s="29">
        <v>0.48888888888888887</v>
      </c>
      <c r="H42" t="s">
        <v>1471</v>
      </c>
      <c r="I42" s="29">
        <v>0.31180555555555556</v>
      </c>
    </row>
    <row r="43" spans="1:9">
      <c r="A43" s="6">
        <v>44845</v>
      </c>
      <c r="B43" t="s">
        <v>955</v>
      </c>
      <c r="C43" t="s">
        <v>956</v>
      </c>
      <c r="E43" t="s">
        <v>194</v>
      </c>
      <c r="F43" t="s">
        <v>1584</v>
      </c>
      <c r="G43" s="29">
        <v>0.38680555555555557</v>
      </c>
      <c r="H43" t="s">
        <v>1580</v>
      </c>
      <c r="I43" s="29">
        <v>0.35069444444444442</v>
      </c>
    </row>
    <row r="44" spans="1:9">
      <c r="A44" s="6">
        <v>44846</v>
      </c>
      <c r="B44" t="s">
        <v>53</v>
      </c>
      <c r="C44" t="s">
        <v>54</v>
      </c>
      <c r="D44" t="s">
        <v>163</v>
      </c>
      <c r="E44" t="s">
        <v>167</v>
      </c>
      <c r="F44" t="s">
        <v>1032</v>
      </c>
      <c r="G44" s="29">
        <v>0.41111111111111109</v>
      </c>
      <c r="H44" t="s">
        <v>1033</v>
      </c>
      <c r="I44" s="29">
        <v>0.38472222222222224</v>
      </c>
    </row>
    <row r="45" spans="1:9">
      <c r="A45" s="6">
        <v>44846</v>
      </c>
      <c r="B45" t="s">
        <v>29</v>
      </c>
      <c r="C45" t="s">
        <v>30</v>
      </c>
      <c r="D45" t="s">
        <v>163</v>
      </c>
      <c r="E45" t="s">
        <v>166</v>
      </c>
      <c r="F45" t="s">
        <v>243</v>
      </c>
      <c r="G45" s="29">
        <v>0.37986111111111109</v>
      </c>
      <c r="H45" t="s">
        <v>1065</v>
      </c>
      <c r="I45" s="29">
        <v>2.013888888888889E-2</v>
      </c>
    </row>
    <row r="46" spans="1:9">
      <c r="A46" s="6">
        <v>44846</v>
      </c>
      <c r="B46" t="s">
        <v>88</v>
      </c>
      <c r="C46" t="s">
        <v>89</v>
      </c>
      <c r="D46" t="s">
        <v>163</v>
      </c>
      <c r="E46" t="s">
        <v>167</v>
      </c>
      <c r="F46" t="s">
        <v>1241</v>
      </c>
      <c r="G46" s="29">
        <v>0.38263888888888886</v>
      </c>
      <c r="H46" t="s">
        <v>1241</v>
      </c>
      <c r="I46" s="29">
        <v>0.37430555555555556</v>
      </c>
    </row>
    <row r="47" spans="1:9">
      <c r="A47" s="6">
        <v>44847</v>
      </c>
      <c r="B47" t="s">
        <v>260</v>
      </c>
      <c r="C47" t="s">
        <v>261</v>
      </c>
      <c r="D47" t="s">
        <v>163</v>
      </c>
      <c r="E47" t="s">
        <v>171</v>
      </c>
      <c r="F47" t="s">
        <v>1027</v>
      </c>
      <c r="G47" s="29">
        <v>0.31458333333333333</v>
      </c>
      <c r="H47" t="s">
        <v>1028</v>
      </c>
      <c r="I47" s="29">
        <v>4.2361111111111113E-2</v>
      </c>
    </row>
    <row r="48" spans="1:9">
      <c r="A48" s="6">
        <v>44847</v>
      </c>
      <c r="B48" t="s">
        <v>88</v>
      </c>
      <c r="C48" t="s">
        <v>89</v>
      </c>
      <c r="D48" t="s">
        <v>163</v>
      </c>
      <c r="E48" t="s">
        <v>167</v>
      </c>
      <c r="F48" t="s">
        <v>1241</v>
      </c>
      <c r="G48" s="29">
        <v>0.375</v>
      </c>
      <c r="H48" t="s">
        <v>1241</v>
      </c>
      <c r="I48" s="29">
        <v>0.37430555555555556</v>
      </c>
    </row>
    <row r="49" spans="1:9">
      <c r="A49" s="6">
        <v>44847</v>
      </c>
      <c r="B49" t="s">
        <v>51</v>
      </c>
      <c r="C49" t="s">
        <v>611</v>
      </c>
      <c r="D49" t="s">
        <v>163</v>
      </c>
      <c r="E49" t="s">
        <v>167</v>
      </c>
      <c r="F49" t="s">
        <v>1304</v>
      </c>
      <c r="G49" s="29">
        <v>0.39791666666666664</v>
      </c>
      <c r="H49" t="s">
        <v>1305</v>
      </c>
      <c r="I49" s="29">
        <v>0.33680555555555558</v>
      </c>
    </row>
    <row r="50" spans="1:9">
      <c r="A50" s="6">
        <v>44847</v>
      </c>
      <c r="B50" t="s">
        <v>621</v>
      </c>
      <c r="C50" t="s">
        <v>65</v>
      </c>
      <c r="D50" t="s">
        <v>163</v>
      </c>
      <c r="E50" t="s">
        <v>167</v>
      </c>
      <c r="F50" t="s">
        <v>1317</v>
      </c>
      <c r="G50" s="29">
        <v>0.40763888888888888</v>
      </c>
      <c r="H50" t="s">
        <v>1029</v>
      </c>
      <c r="I50" s="29">
        <v>4.791666666666667E-2</v>
      </c>
    </row>
    <row r="51" spans="1:9">
      <c r="A51" s="6">
        <v>44847</v>
      </c>
      <c r="B51" t="s">
        <v>21</v>
      </c>
      <c r="C51" t="s">
        <v>22</v>
      </c>
      <c r="D51" t="s">
        <v>163</v>
      </c>
      <c r="E51" t="s">
        <v>214</v>
      </c>
      <c r="F51" t="s">
        <v>1361</v>
      </c>
      <c r="G51" s="29">
        <v>0.33958333333333335</v>
      </c>
      <c r="H51" t="s">
        <v>1029</v>
      </c>
      <c r="I51" s="29">
        <v>7.7083333333333337E-2</v>
      </c>
    </row>
    <row r="52" spans="1:9">
      <c r="A52" s="6">
        <v>44847</v>
      </c>
      <c r="B52" t="s">
        <v>70</v>
      </c>
      <c r="C52" t="s">
        <v>71</v>
      </c>
      <c r="D52" t="s">
        <v>163</v>
      </c>
      <c r="E52" t="s">
        <v>168</v>
      </c>
      <c r="F52" t="s">
        <v>1469</v>
      </c>
      <c r="G52" s="29">
        <v>0.32569444444444445</v>
      </c>
      <c r="H52" t="s">
        <v>1469</v>
      </c>
      <c r="I52" s="29">
        <v>0.27430555555555558</v>
      </c>
    </row>
    <row r="53" spans="1:9">
      <c r="A53" s="6">
        <v>44847</v>
      </c>
      <c r="B53" t="s">
        <v>45</v>
      </c>
      <c r="C53" t="s">
        <v>46</v>
      </c>
      <c r="D53" t="s">
        <v>163</v>
      </c>
      <c r="E53" t="s">
        <v>211</v>
      </c>
      <c r="F53" t="s">
        <v>1606</v>
      </c>
      <c r="G53" s="29">
        <v>0.44444444444444442</v>
      </c>
      <c r="H53" t="s">
        <v>1611</v>
      </c>
      <c r="I53" s="29">
        <v>0.3125</v>
      </c>
    </row>
    <row r="54" spans="1:9">
      <c r="A54" s="6">
        <v>44848</v>
      </c>
      <c r="B54" t="s">
        <v>84</v>
      </c>
      <c r="C54" t="s">
        <v>85</v>
      </c>
      <c r="D54" t="s">
        <v>163</v>
      </c>
      <c r="E54" t="s">
        <v>166</v>
      </c>
      <c r="F54" t="s">
        <v>162</v>
      </c>
      <c r="G54" s="29">
        <v>0.39305555555555555</v>
      </c>
      <c r="H54" t="s">
        <v>1018</v>
      </c>
      <c r="I54" s="29">
        <v>0.24444444444444444</v>
      </c>
    </row>
    <row r="55" spans="1:9">
      <c r="A55" s="6">
        <v>44848</v>
      </c>
      <c r="B55" t="s">
        <v>88</v>
      </c>
      <c r="C55" t="s">
        <v>89</v>
      </c>
      <c r="D55" t="s">
        <v>163</v>
      </c>
      <c r="E55" t="s">
        <v>167</v>
      </c>
      <c r="F55" t="s">
        <v>1241</v>
      </c>
      <c r="G55" s="29">
        <v>0.47013888888888888</v>
      </c>
      <c r="H55" t="s">
        <v>1243</v>
      </c>
      <c r="I55" s="29">
        <v>0.34027777777777779</v>
      </c>
    </row>
    <row r="56" spans="1:9">
      <c r="A56" s="6">
        <v>44848</v>
      </c>
      <c r="B56" t="s">
        <v>21</v>
      </c>
      <c r="C56" t="s">
        <v>22</v>
      </c>
      <c r="D56" t="s">
        <v>163</v>
      </c>
      <c r="E56" t="s">
        <v>214</v>
      </c>
      <c r="F56" t="s">
        <v>1029</v>
      </c>
      <c r="G56" s="29">
        <v>7.7083333333333337E-2</v>
      </c>
      <c r="H56" t="s">
        <v>1029</v>
      </c>
      <c r="I56" s="29">
        <v>1.2500000000000001E-2</v>
      </c>
    </row>
    <row r="57" spans="1:9">
      <c r="A57" s="6">
        <v>44849</v>
      </c>
      <c r="B57" t="s">
        <v>260</v>
      </c>
      <c r="C57" t="s">
        <v>261</v>
      </c>
      <c r="D57" t="s">
        <v>163</v>
      </c>
      <c r="E57" t="s">
        <v>171</v>
      </c>
      <c r="F57" t="s">
        <v>1030</v>
      </c>
      <c r="G57" s="29">
        <v>0.41111111111111109</v>
      </c>
      <c r="H57" t="s">
        <v>1029</v>
      </c>
      <c r="I57" s="29">
        <v>0.40625</v>
      </c>
    </row>
    <row r="58" spans="1:9">
      <c r="A58" s="6">
        <v>44849</v>
      </c>
      <c r="B58" t="s">
        <v>74</v>
      </c>
      <c r="C58" t="s">
        <v>75</v>
      </c>
      <c r="D58" t="s">
        <v>163</v>
      </c>
      <c r="E58" t="s">
        <v>168</v>
      </c>
      <c r="F58" t="s">
        <v>1176</v>
      </c>
      <c r="G58" s="29">
        <v>0.51944444444444449</v>
      </c>
      <c r="H58" t="s">
        <v>1176</v>
      </c>
      <c r="I58" s="29">
        <v>0.36875000000000002</v>
      </c>
    </row>
    <row r="59" spans="1:9">
      <c r="A59" s="6">
        <v>44849</v>
      </c>
      <c r="B59" t="s">
        <v>61</v>
      </c>
      <c r="C59" t="s">
        <v>62</v>
      </c>
      <c r="D59" t="s">
        <v>163</v>
      </c>
      <c r="E59" t="s">
        <v>194</v>
      </c>
      <c r="F59" t="s">
        <v>1244</v>
      </c>
      <c r="G59" s="29">
        <v>0.3298611111111111</v>
      </c>
      <c r="H59" t="s">
        <v>1245</v>
      </c>
      <c r="I59" s="29">
        <v>2.2916666666666665E-2</v>
      </c>
    </row>
    <row r="60" spans="1:9">
      <c r="A60" s="6">
        <v>44849</v>
      </c>
      <c r="B60" t="s">
        <v>82</v>
      </c>
      <c r="C60" t="s">
        <v>83</v>
      </c>
      <c r="D60" t="s">
        <v>163</v>
      </c>
      <c r="E60" t="s">
        <v>171</v>
      </c>
      <c r="F60" t="s">
        <v>1475</v>
      </c>
      <c r="G60" s="29">
        <v>0.32291666666666669</v>
      </c>
      <c r="H60" t="s">
        <v>1471</v>
      </c>
      <c r="I60" s="29">
        <v>0.32013888888888886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07"/>
  <dimension ref="A1:E30"/>
  <sheetViews>
    <sheetView showGridLines="0" workbookViewId="0">
      <selection activeCell="A4" sqref="A4:E30"/>
    </sheetView>
  </sheetViews>
  <sheetFormatPr defaultRowHeight="13.2"/>
  <cols>
    <col min="1" max="1" width="15.6640625" customWidth="1"/>
    <col min="2" max="2" width="17.6640625" bestFit="1" customWidth="1"/>
    <col min="3" max="3" width="24.44140625" bestFit="1" customWidth="1"/>
    <col min="4" max="4" width="17.109375" bestFit="1" customWidth="1"/>
    <col min="5" max="5" width="19" customWidth="1"/>
  </cols>
  <sheetData>
    <row r="1" spans="1:5" ht="20.85" customHeight="1">
      <c r="A1" s="30" t="s">
        <v>159</v>
      </c>
      <c r="B1" s="30"/>
      <c r="C1" s="30"/>
      <c r="D1" s="30" t="s">
        <v>161</v>
      </c>
      <c r="E1" s="30">
        <f>SUBTOTAL(3,OdometerErrs[Employee Code])</f>
        <v>26</v>
      </c>
    </row>
    <row r="3" spans="1:5" ht="18.45" customHeight="1"/>
    <row r="4" spans="1:5">
      <c r="A4" t="s">
        <v>10</v>
      </c>
      <c r="B4" t="s">
        <v>12</v>
      </c>
      <c r="C4" t="s">
        <v>13</v>
      </c>
      <c r="D4" t="s">
        <v>16</v>
      </c>
      <c r="E4" t="s">
        <v>17</v>
      </c>
    </row>
    <row r="5" spans="1:5">
      <c r="A5" s="6">
        <v>44835</v>
      </c>
      <c r="B5" t="s">
        <v>55</v>
      </c>
      <c r="C5" t="s">
        <v>56</v>
      </c>
      <c r="E5" t="s">
        <v>356</v>
      </c>
    </row>
    <row r="6" spans="1:5">
      <c r="A6" s="6">
        <v>44835</v>
      </c>
      <c r="B6" t="s">
        <v>66</v>
      </c>
      <c r="C6" t="s">
        <v>67</v>
      </c>
      <c r="E6" t="s">
        <v>802</v>
      </c>
    </row>
    <row r="7" spans="1:5">
      <c r="A7" s="6">
        <v>44835</v>
      </c>
      <c r="B7" t="s">
        <v>94</v>
      </c>
      <c r="C7" t="s">
        <v>95</v>
      </c>
      <c r="E7" t="s">
        <v>992</v>
      </c>
    </row>
    <row r="8" spans="1:5">
      <c r="A8" s="6">
        <v>44838</v>
      </c>
      <c r="B8" t="s">
        <v>596</v>
      </c>
      <c r="C8" t="s">
        <v>597</v>
      </c>
      <c r="D8" t="s">
        <v>600</v>
      </c>
    </row>
    <row r="9" spans="1:5">
      <c r="A9" s="6">
        <v>44838</v>
      </c>
      <c r="B9" t="s">
        <v>955</v>
      </c>
      <c r="C9" t="s">
        <v>956</v>
      </c>
      <c r="E9" t="s">
        <v>959</v>
      </c>
    </row>
    <row r="10" spans="1:5">
      <c r="A10" s="6">
        <v>44839</v>
      </c>
      <c r="B10" t="s">
        <v>84</v>
      </c>
      <c r="C10" t="s">
        <v>85</v>
      </c>
      <c r="E10" t="s">
        <v>253</v>
      </c>
    </row>
    <row r="11" spans="1:5">
      <c r="A11" s="6">
        <v>44839</v>
      </c>
      <c r="B11" t="s">
        <v>546</v>
      </c>
      <c r="C11" t="s">
        <v>547</v>
      </c>
      <c r="E11" t="s">
        <v>551</v>
      </c>
    </row>
    <row r="12" spans="1:5">
      <c r="A12" s="6">
        <v>44839</v>
      </c>
      <c r="B12" t="s">
        <v>80</v>
      </c>
      <c r="C12" t="s">
        <v>81</v>
      </c>
      <c r="E12" t="s">
        <v>786</v>
      </c>
    </row>
    <row r="13" spans="1:5">
      <c r="A13" s="6">
        <v>44840</v>
      </c>
      <c r="B13" t="s">
        <v>55</v>
      </c>
      <c r="C13" t="s">
        <v>56</v>
      </c>
      <c r="E13" t="s">
        <v>359</v>
      </c>
    </row>
    <row r="14" spans="1:5">
      <c r="A14" s="6">
        <v>44840</v>
      </c>
      <c r="B14" t="s">
        <v>541</v>
      </c>
      <c r="C14" t="s">
        <v>542</v>
      </c>
      <c r="E14" t="s">
        <v>543</v>
      </c>
    </row>
    <row r="15" spans="1:5">
      <c r="A15" s="6">
        <v>44841</v>
      </c>
      <c r="B15" t="s">
        <v>596</v>
      </c>
      <c r="C15" t="s">
        <v>597</v>
      </c>
      <c r="D15" t="s">
        <v>603</v>
      </c>
    </row>
    <row r="16" spans="1:5">
      <c r="A16" s="6">
        <v>44842</v>
      </c>
      <c r="B16" t="s">
        <v>596</v>
      </c>
      <c r="C16" t="s">
        <v>597</v>
      </c>
      <c r="D16" t="s">
        <v>604</v>
      </c>
    </row>
    <row r="17" spans="1:5">
      <c r="A17" s="6">
        <v>44842</v>
      </c>
      <c r="B17" t="s">
        <v>82</v>
      </c>
      <c r="C17" t="s">
        <v>83</v>
      </c>
      <c r="E17" t="s">
        <v>830</v>
      </c>
    </row>
    <row r="18" spans="1:5">
      <c r="A18" s="6">
        <v>44844</v>
      </c>
      <c r="B18" t="s">
        <v>74</v>
      </c>
      <c r="C18" t="s">
        <v>75</v>
      </c>
      <c r="E18" t="s">
        <v>442</v>
      </c>
    </row>
    <row r="19" spans="1:5">
      <c r="A19" s="6">
        <v>44845</v>
      </c>
      <c r="B19" t="s">
        <v>367</v>
      </c>
      <c r="C19" t="s">
        <v>368</v>
      </c>
      <c r="E19" t="s">
        <v>374</v>
      </c>
    </row>
    <row r="20" spans="1:5">
      <c r="A20" s="6">
        <v>44845</v>
      </c>
      <c r="B20" t="s">
        <v>68</v>
      </c>
      <c r="C20" t="s">
        <v>69</v>
      </c>
      <c r="E20" t="s">
        <v>819</v>
      </c>
    </row>
    <row r="21" spans="1:5">
      <c r="A21" s="6">
        <v>44846</v>
      </c>
      <c r="B21" t="s">
        <v>53</v>
      </c>
      <c r="C21" t="s">
        <v>54</v>
      </c>
      <c r="E21" t="s">
        <v>280</v>
      </c>
    </row>
    <row r="22" spans="1:5">
      <c r="A22" s="6">
        <v>44846</v>
      </c>
      <c r="B22" t="s">
        <v>375</v>
      </c>
      <c r="C22" t="s">
        <v>376</v>
      </c>
      <c r="E22" t="s">
        <v>386</v>
      </c>
    </row>
    <row r="23" spans="1:5">
      <c r="A23" s="6">
        <v>44846</v>
      </c>
      <c r="B23" t="s">
        <v>596</v>
      </c>
      <c r="C23" t="s">
        <v>597</v>
      </c>
      <c r="D23" t="s">
        <v>607</v>
      </c>
    </row>
    <row r="24" spans="1:5">
      <c r="A24" s="6">
        <v>44847</v>
      </c>
      <c r="B24" t="s">
        <v>96</v>
      </c>
      <c r="C24" t="s">
        <v>97</v>
      </c>
      <c r="E24" t="s">
        <v>436</v>
      </c>
    </row>
    <row r="25" spans="1:5">
      <c r="A25" s="6">
        <v>44847</v>
      </c>
      <c r="B25" t="s">
        <v>768</v>
      </c>
      <c r="C25" t="s">
        <v>769</v>
      </c>
      <c r="E25" t="s">
        <v>771</v>
      </c>
    </row>
    <row r="26" spans="1:5">
      <c r="A26" s="6">
        <v>44847</v>
      </c>
      <c r="B26" t="s">
        <v>66</v>
      </c>
      <c r="C26" t="s">
        <v>67</v>
      </c>
      <c r="E26" t="s">
        <v>809</v>
      </c>
    </row>
    <row r="27" spans="1:5">
      <c r="A27" s="6">
        <v>44849</v>
      </c>
      <c r="B27" t="s">
        <v>74</v>
      </c>
      <c r="C27" t="s">
        <v>75</v>
      </c>
      <c r="E27" t="s">
        <v>446</v>
      </c>
    </row>
    <row r="28" spans="1:5">
      <c r="A28" s="6">
        <v>44849</v>
      </c>
      <c r="B28" t="s">
        <v>51</v>
      </c>
      <c r="C28" t="s">
        <v>611</v>
      </c>
      <c r="E28" t="s">
        <v>620</v>
      </c>
    </row>
    <row r="29" spans="1:5">
      <c r="A29" s="6">
        <v>44849</v>
      </c>
      <c r="B29" t="s">
        <v>33</v>
      </c>
      <c r="C29" t="s">
        <v>34</v>
      </c>
      <c r="E29" t="s">
        <v>728</v>
      </c>
    </row>
    <row r="30" spans="1:5">
      <c r="A30" s="6">
        <v>44849</v>
      </c>
      <c r="B30" t="s">
        <v>920</v>
      </c>
      <c r="C30" t="s">
        <v>921</v>
      </c>
      <c r="D30" t="s">
        <v>930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A0A3363F-F4BF-4C2F-B509-8C2C28F73FBD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F424C07C-F4F8-470C-BE8A-607EABD666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HOME</vt:lpstr>
      <vt:lpstr>SET PARAMETERS</vt:lpstr>
      <vt:lpstr>SPLIT_PARAM</vt:lpstr>
      <vt:lpstr>DVL</vt:lpstr>
      <vt:lpstr>DTE</vt:lpstr>
      <vt:lpstr>DTEO</vt:lpstr>
      <vt:lpstr>Err_NegTime</vt:lpstr>
      <vt:lpstr>Err_Odometer</vt:lpstr>
      <vt:lpstr>ColToSplit</vt:lpstr>
      <vt:lpstr>CommRngVL</vt:lpstr>
      <vt:lpstr>DataVL</vt:lpstr>
      <vt:lpstr>DTEEXPRNG</vt:lpstr>
      <vt:lpstr>EmpLstTE</vt:lpstr>
      <vt:lpstr>File_Path</vt:lpstr>
      <vt:lpstr>fltCrtVL</vt:lpstr>
      <vt:lpstr>HeaderRngVL</vt:lpstr>
      <vt:lpstr>HOME_CTRL</vt:lpstr>
      <vt:lpstr>HOME_ERR01</vt:lpstr>
      <vt:lpstr>HOME_ERR02</vt:lpstr>
      <vt:lpstr>HOME_SETPARAM</vt:lpstr>
      <vt:lpstr>HOME_TE</vt:lpstr>
      <vt:lpstr>HOME_TES</vt:lpstr>
      <vt:lpstr>HOME_VL</vt:lpstr>
      <vt:lpstr>rStart</vt:lpstr>
      <vt:lpstr>SelColVL</vt:lpstr>
      <vt:lpstr>sEmp</vt:lpstr>
      <vt:lpstr>sEmpCount</vt:lpstr>
      <vt:lpstr>SortCust</vt:lpstr>
      <vt:lpstr>SortSht</vt:lpstr>
      <vt:lpstr>UsrNm</vt:lpstr>
      <vt:lpstr>VBA_ACT</vt:lpstr>
      <vt:lpstr>VBA_FEXT</vt:lpstr>
      <vt:lpstr>VBA_FNM</vt:lpstr>
      <vt:lpstr>VBA_OPF</vt:lpstr>
      <vt:lpstr>VBA_OPFTE</vt:lpstr>
      <vt:lpstr>VBA_ORIENTATION</vt:lpstr>
      <vt:lpstr>VBA_STUP_FS</vt:lpstr>
      <vt:lpstr>VBA_STUP_FUS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Epicminds IT</cp:lastModifiedBy>
  <cp:lastPrinted>2022-11-16T09:20:39Z</cp:lastPrinted>
  <dcterms:created xsi:type="dcterms:W3CDTF">2014-09-29T14:50:43Z</dcterms:created>
  <dcterms:modified xsi:type="dcterms:W3CDTF">2023-06-05T13:31:57Z</dcterms:modified>
</cp:coreProperties>
</file>